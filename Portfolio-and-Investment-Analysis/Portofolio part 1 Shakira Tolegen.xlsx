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la" sheetId="1" r:id="rId5"/>
    <sheet state="visible" name="Nike" sheetId="2" r:id="rId6"/>
    <sheet state="visible" name="Returns" sheetId="3" r:id="rId7"/>
    <sheet state="visible" name="Summary Statistics" sheetId="4" r:id="rId8"/>
    <sheet state="visible" name="Covariance" sheetId="5" r:id="rId9"/>
    <sheet state="visible" name="Regression Tesla" sheetId="6" r:id="rId10"/>
    <sheet state="visible" name="Regression Nike" sheetId="7" r:id="rId11"/>
    <sheet state="visible" name="CHI SQUARE" sheetId="8" r:id="rId12"/>
    <sheet state="visible" name="F TEST" sheetId="9" r:id="rId13"/>
  </sheets>
  <definedNames/>
  <calcPr/>
</workbook>
</file>

<file path=xl/sharedStrings.xml><?xml version="1.0" encoding="utf-8"?>
<sst xmlns="http://schemas.openxmlformats.org/spreadsheetml/2006/main" count="764" uniqueCount="156">
  <si>
    <t>Date</t>
  </si>
  <si>
    <t>Open</t>
  </si>
  <si>
    <t>High</t>
  </si>
  <si>
    <t>Low</t>
  </si>
  <si>
    <t>Close</t>
  </si>
  <si>
    <t>Adj Close Adjusted close price adjusted for splits and dividend and/or capital gain distributions.</t>
  </si>
  <si>
    <t>Volume</t>
  </si>
  <si>
    <t xml:space="preserve">Tesla, Inc. (TSLA)
</t>
  </si>
  <si>
    <t>finance.yahoo.com</t>
  </si>
  <si>
    <t>02/03/2026</t>
  </si>
  <si>
    <t>23/02/2026</t>
  </si>
  <si>
    <t>16/02/2026</t>
  </si>
  <si>
    <t>09/02/2026</t>
  </si>
  <si>
    <t>02/02/2026</t>
  </si>
  <si>
    <t>26/01/2026</t>
  </si>
  <si>
    <t>19/01/2026</t>
  </si>
  <si>
    <t>12/01/2026</t>
  </si>
  <si>
    <t>05/01/2026</t>
  </si>
  <si>
    <t>29/12/2025</t>
  </si>
  <si>
    <t>22/12/2025</t>
  </si>
  <si>
    <t>15/12/2025</t>
  </si>
  <si>
    <t>08/12/2025</t>
  </si>
  <si>
    <t>01/12/2025</t>
  </si>
  <si>
    <t>24/11/2025</t>
  </si>
  <si>
    <t>17/11/2025</t>
  </si>
  <si>
    <t>10/11/2025</t>
  </si>
  <si>
    <t>03/11/2025</t>
  </si>
  <si>
    <t>27/10/2025</t>
  </si>
  <si>
    <t>20/10/2025</t>
  </si>
  <si>
    <t>13/10/2025</t>
  </si>
  <si>
    <t>06/10/2025</t>
  </si>
  <si>
    <t>29/09/2025</t>
  </si>
  <si>
    <t>22/09/2025</t>
  </si>
  <si>
    <t>15/09/2025</t>
  </si>
  <si>
    <t>08/09/2025</t>
  </si>
  <si>
    <t>01/09/2025</t>
  </si>
  <si>
    <t>25/08/2025</t>
  </si>
  <si>
    <t>18/08/2025</t>
  </si>
  <si>
    <t>11/08/2025</t>
  </si>
  <si>
    <t>04/08/2025</t>
  </si>
  <si>
    <t>28/07/2025</t>
  </si>
  <si>
    <t>21/07/2025</t>
  </si>
  <si>
    <t>14/07/2025</t>
  </si>
  <si>
    <t>07/07/2025</t>
  </si>
  <si>
    <t>30/06/2025</t>
  </si>
  <si>
    <t>23/06/2025</t>
  </si>
  <si>
    <t>16/06/2025</t>
  </si>
  <si>
    <t>09/06/2025</t>
  </si>
  <si>
    <t>02/06/2025</t>
  </si>
  <si>
    <t>26/05/2025</t>
  </si>
  <si>
    <t>19/05/2025</t>
  </si>
  <si>
    <t>12/05/2025</t>
  </si>
  <si>
    <t>05/05/2025</t>
  </si>
  <si>
    <t>28/04/2025</t>
  </si>
  <si>
    <t>21/04/2025</t>
  </si>
  <si>
    <t>14/04/2025</t>
  </si>
  <si>
    <t>07/04/2025</t>
  </si>
  <si>
    <t>31/03/2025</t>
  </si>
  <si>
    <t>24/03/2025</t>
  </si>
  <si>
    <t>17/03/2025</t>
  </si>
  <si>
    <t>10/03/2025</t>
  </si>
  <si>
    <t>03/03/2025</t>
  </si>
  <si>
    <t>NIKE, Inc. (NKE)</t>
  </si>
  <si>
    <t>06/03/2026</t>
  </si>
  <si>
    <t>9,29</t>
  </si>
  <si>
    <t xml:space="preserve">Adj Close </t>
  </si>
  <si>
    <t>Tesla Return</t>
  </si>
  <si>
    <t>Nike Return</t>
  </si>
  <si>
    <t>Adj Close</t>
  </si>
  <si>
    <t>Market Return</t>
  </si>
  <si>
    <t>NKE</t>
  </si>
  <si>
    <t>AAPL</t>
  </si>
  <si>
    <t>Max</t>
  </si>
  <si>
    <t>Mean Return</t>
  </si>
  <si>
    <t>Min</t>
  </si>
  <si>
    <t>Sample Var</t>
  </si>
  <si>
    <t>Range</t>
  </si>
  <si>
    <t>Sample Stnd Dev</t>
  </si>
  <si>
    <t>Q3</t>
  </si>
  <si>
    <t>Risk-free rate</t>
  </si>
  <si>
    <t>Q1</t>
  </si>
  <si>
    <t>Sharpe ratio</t>
  </si>
  <si>
    <t>IQR</t>
  </si>
  <si>
    <t>CV</t>
  </si>
  <si>
    <t>The limit (fence)</t>
  </si>
  <si>
    <t>Upper fence</t>
  </si>
  <si>
    <t>Lower fence</t>
  </si>
  <si>
    <t>Z min</t>
  </si>
  <si>
    <t>Z max</t>
  </si>
  <si>
    <t>Dev Nike</t>
  </si>
  <si>
    <t>Dev Apple</t>
  </si>
  <si>
    <t>Product</t>
  </si>
  <si>
    <t>Asset Relationship</t>
  </si>
  <si>
    <t>Covariance</t>
  </si>
  <si>
    <t>WEAK DIRECT LINEAR RELATIONSHIP</t>
  </si>
  <si>
    <t>Correlation</t>
  </si>
  <si>
    <t>VERY WEAK POSITIVE RELATIONSHIP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</si>
  <si>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</si>
  <si>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</si>
  <si>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</si>
  <si>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</si>
  <si>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</si>
  <si>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</si>
  <si>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</si>
  <si>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</si>
  <si>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</si>
  <si>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</si>
  <si>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</si>
  <si>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</si>
  <si>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</si>
  <si>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</si>
  <si>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</si>
  <si>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</si>
  <si>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</si>
  <si>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</si>
  <si>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</si>
  <si>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</si>
  <si>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</si>
  <si>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</si>
  <si>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</si>
  <si>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</si>
  <si>
    <t>H₀: σ² = 0.0017</t>
  </si>
  <si>
    <t>H₁: σ² ≠ 0.0017</t>
  </si>
  <si>
    <t>n</t>
  </si>
  <si>
    <t xml:space="preserve">number of observations </t>
  </si>
  <si>
    <t>s</t>
  </si>
  <si>
    <t>sample standard deviation</t>
  </si>
  <si>
    <t>σ₀</t>
  </si>
  <si>
    <t>weekly standard deviation</t>
  </si>
  <si>
    <t>α</t>
  </si>
  <si>
    <t>significance level</t>
  </si>
  <si>
    <t>DOF</t>
  </si>
  <si>
    <t xml:space="preserve">degrees of freedom </t>
  </si>
  <si>
    <t xml:space="preserve">s² </t>
  </si>
  <si>
    <t>sample variance</t>
  </si>
  <si>
    <t xml:space="preserve">σ₀² </t>
  </si>
  <si>
    <t>annual standard deviation</t>
  </si>
  <si>
    <t>χ²</t>
  </si>
  <si>
    <t>chi-square test statistic</t>
  </si>
  <si>
    <t>P value</t>
  </si>
  <si>
    <t>p = 0.000001 &lt; 0.05</t>
  </si>
  <si>
    <t>reject H₀</t>
  </si>
  <si>
    <t>p = 0.00076 &lt; 0.05</t>
  </si>
  <si>
    <t>⬆️</t>
  </si>
  <si>
    <t>Test at the 5 percent significance level whether the true population standard deviation differs from 30%</t>
  </si>
  <si>
    <t>Tesla</t>
  </si>
  <si>
    <t>Nike</t>
  </si>
  <si>
    <t>A financial analyst wants to test whether Nike is riskier than Apple using variance as the measure of risk.</t>
  </si>
  <si>
    <t>N</t>
  </si>
  <si>
    <t>H₀:  σN² ≤ σA²</t>
  </si>
  <si>
    <t>H₁:  σN² &gt; σA²</t>
  </si>
  <si>
    <t>F test statistic</t>
  </si>
  <si>
    <t>df1</t>
  </si>
  <si>
    <t>df2</t>
  </si>
  <si>
    <t>the critical value</t>
  </si>
  <si>
    <t>1.275 &lt; 1.585 we do not 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</si>
</sst>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#,##0.000"/>
    <numFmt numFmtId="166" formatCode="0.000000"/>
    <numFmt numFmtId="167" formatCode="0.0000"/>
    <numFmt numFmtId="168" formatCode="0.00000"/>
  </numFmts>
  <fonts count="1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24.0"/>
      <color rgb="FF000000"/>
      <name val="Arial"/>
      <scheme val="minor"/>
    </font>
    <font>
      <b/>
      <u/>
      <color rgb="FF0000FF"/>
    </font>
    <font>
      <color rgb="FF000000"/>
      <name val="Arial"/>
      <scheme val="minor"/>
    </font>
    <font>
      <b/>
      <sz val="14.0"/>
      <color rgb="FF000000"/>
      <name val="Arial"/>
      <scheme val="minor"/>
    </font>
    <font>
      <color theme="1"/>
      <name val="Arial"/>
      <scheme val="minor"/>
    </font>
    <font>
      <b/>
      <u/>
      <color rgb="FF0000FF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i/>
      <sz val="11.0"/>
      <color rgb="FF000000"/>
      <name val="Calibri"/>
    </font>
    <font/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2" fontId="6" numFmtId="0" xfId="0" applyFont="1"/>
    <xf borderId="0" fillId="0" fontId="6" numFmtId="49" xfId="0" applyFont="1" applyNumberFormat="1"/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vertical="center"/>
    </xf>
    <xf borderId="0" fillId="3" fontId="1" numFmtId="49" xfId="0" applyAlignment="1" applyFill="1" applyFont="1" applyNumberForma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3" fontId="8" numFmtId="164" xfId="0" applyAlignment="1" applyFont="1" applyNumberFormat="1">
      <alignment readingOrder="0"/>
    </xf>
    <xf borderId="0" fillId="4" fontId="1" numFmtId="49" xfId="0" applyAlignment="1" applyFill="1" applyFont="1" applyNumberFormat="1">
      <alignment horizontal="center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4" fontId="8" numFmtId="164" xfId="0" applyAlignment="1" applyFont="1" applyNumberFormat="1">
      <alignment readingOrder="0"/>
    </xf>
    <xf borderId="0" fillId="5" fontId="1" numFmtId="49" xfId="0" applyAlignment="1" applyFill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5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164" xfId="0" applyFont="1" applyNumberFormat="1"/>
    <xf borderId="0" fillId="0" fontId="4" numFmtId="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6" numFmtId="165" xfId="0" applyFont="1" applyNumberFormat="1"/>
    <xf borderId="1" fillId="4" fontId="1" numFmtId="49" xfId="0" applyAlignment="1" applyBorder="1" applyFont="1" applyNumberFormat="1">
      <alignment horizontal="center" readingOrder="0" vertical="center"/>
    </xf>
    <xf borderId="1" fillId="4" fontId="8" numFmtId="164" xfId="0" applyAlignment="1" applyBorder="1" applyFont="1" applyNumberFormat="1">
      <alignment readingOrder="0"/>
    </xf>
    <xf borderId="1" fillId="0" fontId="8" numFmtId="164" xfId="0" applyBorder="1" applyFont="1" applyNumberFormat="1"/>
    <xf borderId="1" fillId="0" fontId="6" numFmtId="164" xfId="0" applyBorder="1" applyFont="1" applyNumberFormat="1"/>
    <xf borderId="0" fillId="0" fontId="8" numFmtId="2" xfId="0" applyAlignment="1" applyFont="1" applyNumberFormat="1">
      <alignment readingOrder="0"/>
    </xf>
    <xf borderId="0" fillId="0" fontId="6" numFmtId="2" xfId="0" applyFont="1" applyNumberFormat="1"/>
    <xf borderId="1" fillId="6" fontId="8" numFmtId="49" xfId="0" applyAlignment="1" applyBorder="1" applyFill="1" applyFont="1" applyNumberFormat="1">
      <alignment readingOrder="0"/>
    </xf>
    <xf borderId="1" fillId="6" fontId="8" numFmtId="164" xfId="0" applyAlignment="1" applyBorder="1" applyFont="1" applyNumberFormat="1">
      <alignment readingOrder="0"/>
    </xf>
    <xf borderId="1" fillId="6" fontId="9" numFmtId="0" xfId="0" applyAlignment="1" applyBorder="1" applyFont="1">
      <alignment vertical="bottom"/>
    </xf>
    <xf borderId="1" fillId="6" fontId="9" numFmtId="166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0" fillId="0" fontId="10" numFmtId="167" xfId="0" applyAlignment="1" applyFont="1" applyNumberFormat="1">
      <alignment vertical="bottom"/>
    </xf>
    <xf borderId="0" fillId="0" fontId="6" numFmtId="49" xfId="0" applyAlignment="1" applyFont="1" applyNumberFormat="1">
      <alignment readingOrder="0"/>
    </xf>
    <xf borderId="0" fillId="0" fontId="10" numFmtId="164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1" fillId="0" fontId="10" numFmtId="49" xfId="0" applyAlignment="1" applyBorder="1" applyFont="1" applyNumberFormat="1">
      <alignment vertical="bottom"/>
    </xf>
    <xf borderId="1" fillId="0" fontId="10" numFmtId="167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/>
    </xf>
    <xf borderId="1" fillId="0" fontId="10" numFmtId="0" xfId="0" applyAlignment="1" applyBorder="1" applyFont="1">
      <alignment vertical="bottom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2" fillId="0" fontId="12" numFmtId="0" xfId="0" applyAlignment="1" applyBorder="1" applyFont="1">
      <alignment horizontal="center" readingOrder="0" shrinkToFit="0" vertical="bottom" wrapText="0"/>
    </xf>
    <xf borderId="2" fillId="0" fontId="13" numFmtId="0" xfId="0" applyBorder="1" applyFont="1"/>
    <xf borderId="0" fillId="0" fontId="11" numFmtId="0" xfId="0" applyAlignment="1" applyFont="1">
      <alignment horizontal="right" readingOrder="0" shrinkToFit="0" vertical="bottom" wrapText="0"/>
    </xf>
    <xf borderId="3" fillId="0" fontId="11" numFmtId="0" xfId="0" applyAlignment="1" applyBorder="1" applyFont="1">
      <alignment readingOrder="0" shrinkToFit="0" vertical="bottom" wrapText="0"/>
    </xf>
    <xf borderId="3" fillId="0" fontId="11" numFmtId="0" xfId="0" applyAlignment="1" applyBorder="1" applyFont="1">
      <alignment horizontal="right" readingOrder="0"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3" fillId="0" fontId="11" numFmtId="0" xfId="0" applyAlignment="1" applyBorder="1" applyFont="1">
      <alignment shrinkToFit="0" vertical="bottom" wrapText="0"/>
    </xf>
    <xf borderId="0" fillId="0" fontId="6" numFmtId="0" xfId="0" applyFont="1"/>
    <xf borderId="1" fillId="0" fontId="6" numFmtId="0" xfId="0" applyBorder="1" applyFont="1"/>
    <xf borderId="1" fillId="0" fontId="6" numFmtId="1" xfId="0" applyBorder="1" applyFont="1" applyNumberFormat="1"/>
    <xf borderId="1" fillId="0" fontId="6" numFmtId="168" xfId="0" applyBorder="1" applyFont="1" applyNumberFormat="1"/>
    <xf borderId="1" fillId="0" fontId="6" numFmtId="2" xfId="0" applyBorder="1" applyFont="1" applyNumberFormat="1"/>
    <xf borderId="1" fillId="0" fontId="6" numFmtId="0" xfId="0" applyAlignment="1" applyBorder="1" applyFont="1">
      <alignment readingOrder="0"/>
    </xf>
    <xf borderId="1" fillId="0" fontId="6" numFmtId="1" xfId="0" applyAlignment="1" applyBorder="1" applyFont="1" applyNumberFormat="1">
      <alignment readingOrder="0"/>
    </xf>
    <xf borderId="1" fillId="0" fontId="6" numFmtId="167" xfId="0" applyBorder="1" applyFont="1" applyNumberFormat="1"/>
    <xf borderId="1" fillId="0" fontId="6" numFmtId="166" xfId="0" applyBorder="1" applyFont="1" applyNumberFormat="1"/>
    <xf borderId="0" fillId="0" fontId="14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0" fontId="9" numFmtId="0" xfId="0" applyAlignment="1" applyBorder="1" applyFont="1">
      <alignment vertical="bottom"/>
    </xf>
    <xf borderId="1" fillId="0" fontId="6" numFmtId="167" xfId="0" applyAlignment="1" applyBorder="1" applyFont="1" applyNumberFormat="1">
      <alignment readingOrder="0"/>
    </xf>
    <xf borderId="4" fillId="0" fontId="6" numFmtId="0" xfId="0" applyAlignment="1" applyBorder="1" applyFont="1">
      <alignment horizontal="center" readingOrder="0"/>
    </xf>
    <xf borderId="5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Tesla!$B$1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Tesla!$A$2:$A$998</c:f>
            </c:strRef>
          </c:cat>
          <c:val>
            <c:numRef>
              <c:f>Tesla!$B$2:$B$998</c:f>
              <c:numCache/>
            </c:numRef>
          </c:val>
          <c:smooth val="0"/>
        </c:ser>
        <c:ser>
          <c:idx val="1"/>
          <c:order val="1"/>
          <c:tx>
            <c:strRef>
              <c:f>Tesla!$C$1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Tesla!$A$2:$A$998</c:f>
            </c:strRef>
          </c:cat>
          <c:val>
            <c:numRef>
              <c:f>Tesla!$C$2:$C$998</c:f>
              <c:numCache/>
            </c:numRef>
          </c:val>
          <c:smooth val="0"/>
        </c:ser>
        <c:ser>
          <c:idx val="2"/>
          <c:order val="2"/>
          <c:tx>
            <c:strRef>
              <c:f>Tesla!$D$1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Tesla!$A$2:$A$998</c:f>
            </c:strRef>
          </c:cat>
          <c:val>
            <c:numRef>
              <c:f>Tesla!$D$2:$D$998</c:f>
              <c:numCache/>
            </c:numRef>
          </c:val>
          <c:smooth val="0"/>
        </c:ser>
        <c:ser>
          <c:idx val="3"/>
          <c:order val="3"/>
          <c:tx>
            <c:strRef>
              <c:f>Tesla!$E$1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Tesla!$A$2:$A$998</c:f>
            </c:strRef>
          </c:cat>
          <c:val>
            <c:numRef>
              <c:f>Tesla!$E$2:$E$998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392548677"/>
        <c:axId val="1364841362"/>
      </c:stockChart>
      <c:dateAx>
        <c:axId val="392548677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841362"/>
      </c:dateAx>
      <c:valAx>
        <c:axId val="1364841362"/>
        <c:scaling>
          <c:orientation val="minMax"/>
          <c:min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548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Open, High, Low and Close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Nike!$B$1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Nike!$A$2:$A$55</c:f>
            </c:strRef>
          </c:cat>
          <c:val>
            <c:numRef>
              <c:f>Nike!$B$2:$B$55</c:f>
              <c:numCache/>
            </c:numRef>
          </c:val>
          <c:smooth val="0"/>
        </c:ser>
        <c:ser>
          <c:idx val="1"/>
          <c:order val="1"/>
          <c:tx>
            <c:strRef>
              <c:f>Nike!$C$1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Nike!$A$2:$A$55</c:f>
            </c:strRef>
          </c:cat>
          <c:val>
            <c:numRef>
              <c:f>Nike!$C$2:$C$55</c:f>
              <c:numCache/>
            </c:numRef>
          </c:val>
          <c:smooth val="0"/>
        </c:ser>
        <c:ser>
          <c:idx val="2"/>
          <c:order val="2"/>
          <c:tx>
            <c:strRef>
              <c:f>Nike!$D$1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Nike!$A$2:$A$55</c:f>
            </c:strRef>
          </c:cat>
          <c:val>
            <c:numRef>
              <c:f>Nike!$D$2:$D$55</c:f>
              <c:numCache/>
            </c:numRef>
          </c:val>
          <c:smooth val="0"/>
        </c:ser>
        <c:ser>
          <c:idx val="3"/>
          <c:order val="3"/>
          <c:tx>
            <c:strRef>
              <c:f>Nike!$E$1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Nike!$A$2:$A$55</c:f>
            </c:strRef>
          </c:cat>
          <c:val>
            <c:numRef>
              <c:f>Nike!$E$2:$E$55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4802176"/>
        <c:axId val="2132067108"/>
      </c:stockChart>
      <c:dateAx>
        <c:axId val="480217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067108"/>
      </c:dateAx>
      <c:valAx>
        <c:axId val="2132067108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2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1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1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TSLA/history/?period1=1741219200&amp;period2=1772755200&amp;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KE/history/?period1=1741348620&amp;period2=1772884618&amp;frequency=1w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I1" s="4" t="s">
        <v>7</v>
      </c>
      <c r="O1" s="5" t="s">
        <v>8</v>
      </c>
    </row>
    <row r="2">
      <c r="A2" s="6" t="s">
        <v>9</v>
      </c>
      <c r="B2" s="7">
        <v>390.6</v>
      </c>
      <c r="C2" s="7">
        <v>408.62</v>
      </c>
      <c r="D2" s="7">
        <v>385.39</v>
      </c>
      <c r="E2" s="7">
        <v>405.55</v>
      </c>
      <c r="F2" s="8">
        <v>405.55</v>
      </c>
      <c r="G2" s="9">
        <v>2.37937E8</v>
      </c>
    </row>
    <row r="3">
      <c r="A3" s="6" t="s">
        <v>10</v>
      </c>
      <c r="B3" s="7">
        <v>407.29</v>
      </c>
      <c r="C3" s="7">
        <v>420.34</v>
      </c>
      <c r="D3" s="7">
        <v>394.04</v>
      </c>
      <c r="E3" s="7">
        <v>402.51</v>
      </c>
      <c r="F3" s="8">
        <v>402.51</v>
      </c>
      <c r="G3" s="9">
        <v>2.935618E8</v>
      </c>
    </row>
    <row r="4">
      <c r="A4" s="6" t="s">
        <v>11</v>
      </c>
      <c r="B4" s="7">
        <v>412.36</v>
      </c>
      <c r="C4" s="7">
        <v>416.9</v>
      </c>
      <c r="D4" s="7">
        <v>400.51</v>
      </c>
      <c r="E4" s="7">
        <v>411.82</v>
      </c>
      <c r="F4" s="8">
        <v>411.82</v>
      </c>
      <c r="G4" s="9">
        <v>2.14532E8</v>
      </c>
    </row>
    <row r="5">
      <c r="A5" s="6" t="s">
        <v>12</v>
      </c>
      <c r="B5" s="7">
        <v>409.91</v>
      </c>
      <c r="C5" s="7">
        <v>436.35</v>
      </c>
      <c r="D5" s="7">
        <v>407.29</v>
      </c>
      <c r="E5" s="7">
        <v>417.44</v>
      </c>
      <c r="F5" s="8">
        <v>417.44</v>
      </c>
      <c r="G5" s="9">
        <v>2.89664E8</v>
      </c>
    </row>
    <row r="6">
      <c r="A6" s="6" t="s">
        <v>13</v>
      </c>
      <c r="B6" s="7">
        <v>421.29</v>
      </c>
      <c r="C6" s="7">
        <v>428.56</v>
      </c>
      <c r="D6" s="7">
        <v>387.53</v>
      </c>
      <c r="E6" s="7">
        <v>411.11</v>
      </c>
      <c r="F6" s="8">
        <v>411.11</v>
      </c>
      <c r="G6" s="9">
        <v>3.257298E8</v>
      </c>
    </row>
    <row r="7">
      <c r="A7" s="6" t="s">
        <v>14</v>
      </c>
      <c r="B7" s="7">
        <v>445.0</v>
      </c>
      <c r="C7" s="7">
        <v>445.04</v>
      </c>
      <c r="D7" s="7">
        <v>414.62</v>
      </c>
      <c r="E7" s="7">
        <v>430.41</v>
      </c>
      <c r="F7" s="8">
        <v>430.41</v>
      </c>
      <c r="G7" s="9">
        <v>3.063001E8</v>
      </c>
    </row>
    <row r="8">
      <c r="A8" s="6" t="s">
        <v>15</v>
      </c>
      <c r="B8" s="7">
        <v>429.36</v>
      </c>
      <c r="C8" s="7">
        <v>452.43</v>
      </c>
      <c r="D8" s="7">
        <v>417.44</v>
      </c>
      <c r="E8" s="7">
        <v>449.06</v>
      </c>
      <c r="F8" s="8">
        <v>449.06</v>
      </c>
      <c r="G8" s="9">
        <v>2.596294E8</v>
      </c>
    </row>
    <row r="9">
      <c r="A9" s="6" t="s">
        <v>16</v>
      </c>
      <c r="B9" s="7">
        <v>441.23</v>
      </c>
      <c r="C9" s="7">
        <v>454.3</v>
      </c>
      <c r="D9" s="7">
        <v>434.22</v>
      </c>
      <c r="E9" s="7">
        <v>437.5</v>
      </c>
      <c r="F9" s="8">
        <v>437.5</v>
      </c>
      <c r="G9" s="9">
        <v>2.823147E8</v>
      </c>
    </row>
    <row r="10">
      <c r="A10" s="6" t="s">
        <v>17</v>
      </c>
      <c r="B10" s="7">
        <v>447.99</v>
      </c>
      <c r="C10" s="7">
        <v>457.55</v>
      </c>
      <c r="D10" s="7">
        <v>424.37</v>
      </c>
      <c r="E10" s="7">
        <v>445.01</v>
      </c>
      <c r="F10" s="8">
        <v>445.01</v>
      </c>
      <c r="G10" s="9">
        <v>3.41236E8</v>
      </c>
    </row>
    <row r="11">
      <c r="A11" s="6" t="s">
        <v>18</v>
      </c>
      <c r="B11" s="7">
        <v>469.0</v>
      </c>
      <c r="C11" s="7">
        <v>469.4</v>
      </c>
      <c r="D11" s="7">
        <v>435.3</v>
      </c>
      <c r="E11" s="7">
        <v>438.07</v>
      </c>
      <c r="F11" s="8">
        <v>438.07</v>
      </c>
      <c r="G11" s="9">
        <v>2.601149E8</v>
      </c>
    </row>
    <row r="12">
      <c r="A12" s="6" t="s">
        <v>19</v>
      </c>
      <c r="B12" s="7">
        <v>489.88</v>
      </c>
      <c r="C12" s="7">
        <v>498.83</v>
      </c>
      <c r="D12" s="7">
        <v>473.82</v>
      </c>
      <c r="E12" s="7">
        <v>475.19</v>
      </c>
      <c r="F12" s="8">
        <v>475.19</v>
      </c>
      <c r="G12" s="9">
        <v>2.452058E8</v>
      </c>
    </row>
    <row r="13">
      <c r="A13" s="6" t="s">
        <v>20</v>
      </c>
      <c r="B13" s="7">
        <v>469.44</v>
      </c>
      <c r="C13" s="7">
        <v>495.28</v>
      </c>
      <c r="D13" s="7">
        <v>465.83</v>
      </c>
      <c r="E13" s="7">
        <v>481.2</v>
      </c>
      <c r="F13" s="8">
        <v>481.2</v>
      </c>
      <c r="G13" s="9">
        <v>5.271145E8</v>
      </c>
    </row>
    <row r="14">
      <c r="A14" s="6" t="s">
        <v>21</v>
      </c>
      <c r="B14" s="7">
        <v>447.45</v>
      </c>
      <c r="C14" s="7">
        <v>463.01</v>
      </c>
      <c r="D14" s="7">
        <v>435.25</v>
      </c>
      <c r="E14" s="7">
        <v>458.96</v>
      </c>
      <c r="F14" s="8">
        <v>458.96</v>
      </c>
      <c r="G14" s="9">
        <v>3.464269E8</v>
      </c>
    </row>
    <row r="15">
      <c r="A15" s="6" t="s">
        <v>22</v>
      </c>
      <c r="B15" s="7">
        <v>425.32</v>
      </c>
      <c r="C15" s="7">
        <v>458.87</v>
      </c>
      <c r="D15" s="7">
        <v>422.12</v>
      </c>
      <c r="E15" s="7">
        <v>455.0</v>
      </c>
      <c r="F15" s="8">
        <v>455.0</v>
      </c>
      <c r="G15" s="9">
        <v>3.426172E8</v>
      </c>
    </row>
    <row r="16">
      <c r="A16" s="6" t="s">
        <v>23</v>
      </c>
      <c r="B16" s="7">
        <v>402.17</v>
      </c>
      <c r="C16" s="7">
        <v>432.93</v>
      </c>
      <c r="D16" s="7">
        <v>401.09</v>
      </c>
      <c r="E16" s="7">
        <v>430.17</v>
      </c>
      <c r="F16" s="8">
        <v>430.17</v>
      </c>
      <c r="G16" s="9">
        <v>2.684379E8</v>
      </c>
    </row>
    <row r="17">
      <c r="A17" s="6" t="s">
        <v>24</v>
      </c>
      <c r="B17" s="7">
        <v>398.74</v>
      </c>
      <c r="C17" s="7">
        <v>428.94</v>
      </c>
      <c r="D17" s="7">
        <v>383.76</v>
      </c>
      <c r="E17" s="7">
        <v>391.09</v>
      </c>
      <c r="F17" s="8">
        <v>391.09</v>
      </c>
      <c r="G17" s="9">
        <v>4.6896E8</v>
      </c>
    </row>
    <row r="18">
      <c r="A18" s="6" t="s">
        <v>25</v>
      </c>
      <c r="B18" s="7">
        <v>439.6</v>
      </c>
      <c r="C18" s="7">
        <v>449.67</v>
      </c>
      <c r="D18" s="7">
        <v>382.78</v>
      </c>
      <c r="E18" s="7">
        <v>404.35</v>
      </c>
      <c r="F18" s="8">
        <v>404.35</v>
      </c>
      <c r="G18" s="9">
        <v>4.200173E8</v>
      </c>
    </row>
    <row r="19">
      <c r="A19" s="6" t="s">
        <v>26</v>
      </c>
      <c r="B19" s="7">
        <v>455.99</v>
      </c>
      <c r="C19" s="7">
        <v>474.07</v>
      </c>
      <c r="D19" s="7">
        <v>421.88</v>
      </c>
      <c r="E19" s="7">
        <v>429.52</v>
      </c>
      <c r="F19" s="8">
        <v>429.52</v>
      </c>
      <c r="G19" s="9">
        <v>4.710192E8</v>
      </c>
    </row>
    <row r="20">
      <c r="A20" s="6" t="s">
        <v>27</v>
      </c>
      <c r="B20" s="7">
        <v>439.98</v>
      </c>
      <c r="C20" s="7">
        <v>467.0</v>
      </c>
      <c r="D20" s="7">
        <v>438.69</v>
      </c>
      <c r="E20" s="7">
        <v>456.56</v>
      </c>
      <c r="F20" s="8">
        <v>456.56</v>
      </c>
      <c r="G20" s="9">
        <v>4.096204E8</v>
      </c>
    </row>
    <row r="21">
      <c r="A21" s="6" t="s">
        <v>28</v>
      </c>
      <c r="B21" s="7">
        <v>443.87</v>
      </c>
      <c r="C21" s="7">
        <v>451.68</v>
      </c>
      <c r="D21" s="7">
        <v>413.9</v>
      </c>
      <c r="E21" s="7">
        <v>433.72</v>
      </c>
      <c r="F21" s="8">
        <v>433.72</v>
      </c>
      <c r="G21" s="9">
        <v>4.235923E8</v>
      </c>
    </row>
    <row r="22">
      <c r="A22" s="6" t="s">
        <v>29</v>
      </c>
      <c r="B22" s="7">
        <v>423.53</v>
      </c>
      <c r="C22" s="7">
        <v>441.46</v>
      </c>
      <c r="D22" s="7">
        <v>417.86</v>
      </c>
      <c r="E22" s="7">
        <v>439.31</v>
      </c>
      <c r="F22" s="8">
        <v>439.31</v>
      </c>
      <c r="G22" s="9">
        <v>3.903019E8</v>
      </c>
    </row>
    <row r="23">
      <c r="A23" s="6" t="s">
        <v>30</v>
      </c>
      <c r="B23" s="7">
        <v>440.75</v>
      </c>
      <c r="C23" s="7">
        <v>453.55</v>
      </c>
      <c r="D23" s="7">
        <v>411.45</v>
      </c>
      <c r="E23" s="7">
        <v>413.49</v>
      </c>
      <c r="F23" s="8">
        <v>413.49</v>
      </c>
      <c r="G23" s="9">
        <v>4.402609E8</v>
      </c>
    </row>
    <row r="24">
      <c r="A24" s="6" t="s">
        <v>31</v>
      </c>
      <c r="B24" s="7">
        <v>444.35</v>
      </c>
      <c r="C24" s="7">
        <v>470.75</v>
      </c>
      <c r="D24" s="7">
        <v>416.58</v>
      </c>
      <c r="E24" s="7">
        <v>429.83</v>
      </c>
      <c r="F24" s="8">
        <v>429.83</v>
      </c>
      <c r="G24" s="9">
        <v>5.22169E8</v>
      </c>
    </row>
    <row r="25">
      <c r="A25" s="6" t="s">
        <v>32</v>
      </c>
      <c r="B25" s="7">
        <v>431.11</v>
      </c>
      <c r="C25" s="7">
        <v>444.98</v>
      </c>
      <c r="D25" s="7">
        <v>419.08</v>
      </c>
      <c r="E25" s="7">
        <v>440.4</v>
      </c>
      <c r="F25" s="8">
        <v>440.4</v>
      </c>
      <c r="G25" s="9">
        <v>4.720397E8</v>
      </c>
    </row>
    <row r="26">
      <c r="A26" s="6" t="s">
        <v>33</v>
      </c>
      <c r="B26" s="7">
        <v>423.13</v>
      </c>
      <c r="C26" s="7">
        <v>432.22</v>
      </c>
      <c r="D26" s="7">
        <v>402.43</v>
      </c>
      <c r="E26" s="7">
        <v>426.07</v>
      </c>
      <c r="F26" s="8">
        <v>426.07</v>
      </c>
      <c r="G26" s="9">
        <v>5.578284E8</v>
      </c>
    </row>
    <row r="27">
      <c r="A27" s="6" t="s">
        <v>34</v>
      </c>
      <c r="B27" s="7">
        <v>354.64</v>
      </c>
      <c r="C27" s="7">
        <v>396.69</v>
      </c>
      <c r="D27" s="7">
        <v>343.82</v>
      </c>
      <c r="E27" s="7">
        <v>395.94</v>
      </c>
      <c r="F27" s="8">
        <v>395.94</v>
      </c>
      <c r="G27" s="9">
        <v>4.730584E8</v>
      </c>
    </row>
    <row r="28">
      <c r="A28" s="6" t="s">
        <v>35</v>
      </c>
      <c r="B28" s="7">
        <v>328.23</v>
      </c>
      <c r="C28" s="7">
        <v>355.87</v>
      </c>
      <c r="D28" s="7">
        <v>325.6</v>
      </c>
      <c r="E28" s="7">
        <v>350.84</v>
      </c>
      <c r="F28" s="8">
        <v>350.84</v>
      </c>
      <c r="G28" s="9">
        <v>3.168261E8</v>
      </c>
    </row>
    <row r="29">
      <c r="A29" s="6" t="s">
        <v>36</v>
      </c>
      <c r="B29" s="7">
        <v>338.9</v>
      </c>
      <c r="C29" s="7">
        <v>355.39</v>
      </c>
      <c r="D29" s="7">
        <v>331.7</v>
      </c>
      <c r="E29" s="7">
        <v>333.87</v>
      </c>
      <c r="F29" s="8">
        <v>333.87</v>
      </c>
      <c r="G29" s="9">
        <v>3.778895E8</v>
      </c>
    </row>
    <row r="30">
      <c r="A30" s="6" t="s">
        <v>37</v>
      </c>
      <c r="B30" s="7">
        <v>329.62</v>
      </c>
      <c r="C30" s="7">
        <v>340.55</v>
      </c>
      <c r="D30" s="7">
        <v>314.6</v>
      </c>
      <c r="E30" s="7">
        <v>340.01</v>
      </c>
      <c r="F30" s="8">
        <v>340.01</v>
      </c>
      <c r="G30" s="9">
        <v>3.601551E8</v>
      </c>
    </row>
    <row r="31">
      <c r="A31" s="6" t="s">
        <v>38</v>
      </c>
      <c r="B31" s="7">
        <v>335.0</v>
      </c>
      <c r="C31" s="7">
        <v>348.98</v>
      </c>
      <c r="D31" s="7">
        <v>327.02</v>
      </c>
      <c r="E31" s="7">
        <v>330.56</v>
      </c>
      <c r="F31" s="8">
        <v>330.56</v>
      </c>
      <c r="G31" s="9">
        <v>4.030017E8</v>
      </c>
    </row>
    <row r="32">
      <c r="A32" s="6" t="s">
        <v>39</v>
      </c>
      <c r="B32" s="7">
        <v>309.08</v>
      </c>
      <c r="C32" s="7">
        <v>335.15</v>
      </c>
      <c r="D32" s="7">
        <v>303.0</v>
      </c>
      <c r="E32" s="7">
        <v>329.65</v>
      </c>
      <c r="F32" s="8">
        <v>329.65</v>
      </c>
      <c r="G32" s="9">
        <v>3.730278E8</v>
      </c>
    </row>
    <row r="33">
      <c r="A33" s="6" t="s">
        <v>40</v>
      </c>
      <c r="B33" s="7">
        <v>318.45</v>
      </c>
      <c r="C33" s="7">
        <v>330.49</v>
      </c>
      <c r="D33" s="7">
        <v>297.82</v>
      </c>
      <c r="E33" s="7">
        <v>302.63</v>
      </c>
      <c r="F33" s="8">
        <v>302.63</v>
      </c>
      <c r="G33" s="9">
        <v>4.583569E8</v>
      </c>
    </row>
    <row r="34">
      <c r="A34" s="6" t="s">
        <v>41</v>
      </c>
      <c r="B34" s="7">
        <v>334.4</v>
      </c>
      <c r="C34" s="7">
        <v>338.0</v>
      </c>
      <c r="D34" s="7">
        <v>300.41</v>
      </c>
      <c r="E34" s="7">
        <v>316.06</v>
      </c>
      <c r="F34" s="8">
        <v>316.06</v>
      </c>
      <c r="G34" s="9">
        <v>5.50886E8</v>
      </c>
    </row>
    <row r="35">
      <c r="A35" s="6" t="s">
        <v>42</v>
      </c>
      <c r="B35" s="7">
        <v>317.73</v>
      </c>
      <c r="C35" s="7">
        <v>330.9</v>
      </c>
      <c r="D35" s="7">
        <v>310.5</v>
      </c>
      <c r="E35" s="7">
        <v>329.65</v>
      </c>
      <c r="F35" s="8">
        <v>329.65</v>
      </c>
      <c r="G35" s="9">
        <v>4.210624E8</v>
      </c>
    </row>
    <row r="36">
      <c r="A36" s="6" t="s">
        <v>43</v>
      </c>
      <c r="B36" s="7">
        <v>291.37</v>
      </c>
      <c r="C36" s="7">
        <v>314.09</v>
      </c>
      <c r="D36" s="7">
        <v>288.77</v>
      </c>
      <c r="E36" s="7">
        <v>313.51</v>
      </c>
      <c r="F36" s="8">
        <v>313.51</v>
      </c>
      <c r="G36" s="9">
        <v>4.936131E8</v>
      </c>
    </row>
    <row r="37">
      <c r="A37" s="6" t="s">
        <v>44</v>
      </c>
      <c r="B37" s="7">
        <v>319.9</v>
      </c>
      <c r="C37" s="7">
        <v>325.58</v>
      </c>
      <c r="D37" s="7">
        <v>293.21</v>
      </c>
      <c r="E37" s="7">
        <v>315.35</v>
      </c>
      <c r="F37" s="8">
        <v>315.35</v>
      </c>
      <c r="G37" s="9">
        <v>3.993068E8</v>
      </c>
    </row>
    <row r="38">
      <c r="A38" s="6" t="s">
        <v>45</v>
      </c>
      <c r="B38" s="7">
        <v>327.54</v>
      </c>
      <c r="C38" s="7">
        <v>357.54</v>
      </c>
      <c r="D38" s="7">
        <v>317.5</v>
      </c>
      <c r="E38" s="7">
        <v>323.63</v>
      </c>
      <c r="F38" s="8">
        <v>323.63</v>
      </c>
      <c r="G38" s="9">
        <v>5.94806E8</v>
      </c>
    </row>
    <row r="39">
      <c r="A39" s="6" t="s">
        <v>46</v>
      </c>
      <c r="B39" s="7">
        <v>331.29</v>
      </c>
      <c r="C39" s="7">
        <v>332.36</v>
      </c>
      <c r="D39" s="7">
        <v>314.74</v>
      </c>
      <c r="E39" s="7">
        <v>322.16</v>
      </c>
      <c r="F39" s="8">
        <v>322.16</v>
      </c>
      <c r="G39" s="9">
        <v>3.760343E8</v>
      </c>
    </row>
    <row r="40">
      <c r="A40" s="6" t="s">
        <v>47</v>
      </c>
      <c r="B40" s="7">
        <v>285.96</v>
      </c>
      <c r="C40" s="7">
        <v>335.5</v>
      </c>
      <c r="D40" s="7">
        <v>281.85</v>
      </c>
      <c r="E40" s="7">
        <v>325.31</v>
      </c>
      <c r="F40" s="8">
        <v>325.31</v>
      </c>
      <c r="G40" s="9">
        <v>6.488686E8</v>
      </c>
    </row>
    <row r="41">
      <c r="A41" s="6" t="s">
        <v>48</v>
      </c>
      <c r="B41" s="7">
        <v>343.5</v>
      </c>
      <c r="C41" s="7">
        <v>355.4</v>
      </c>
      <c r="D41" s="7">
        <v>273.21</v>
      </c>
      <c r="E41" s="7">
        <v>295.14</v>
      </c>
      <c r="F41" s="8">
        <v>295.14</v>
      </c>
      <c r="G41" s="9">
        <v>7.323579E8</v>
      </c>
    </row>
    <row r="42">
      <c r="A42" s="6" t="s">
        <v>49</v>
      </c>
      <c r="B42" s="7">
        <v>347.35</v>
      </c>
      <c r="C42" s="7">
        <v>367.71</v>
      </c>
      <c r="D42" s="7">
        <v>345.29</v>
      </c>
      <c r="E42" s="7">
        <v>346.46</v>
      </c>
      <c r="F42" s="8">
        <v>346.46</v>
      </c>
      <c r="G42" s="9">
        <v>4.231134E8</v>
      </c>
    </row>
    <row r="43">
      <c r="A43" s="6" t="s">
        <v>50</v>
      </c>
      <c r="B43" s="7">
        <v>336.3</v>
      </c>
      <c r="C43" s="7">
        <v>354.99</v>
      </c>
      <c r="D43" s="7">
        <v>331.39</v>
      </c>
      <c r="E43" s="7">
        <v>339.34</v>
      </c>
      <c r="F43" s="8">
        <v>339.34</v>
      </c>
      <c r="G43" s="9">
        <v>5.047084E8</v>
      </c>
    </row>
    <row r="44">
      <c r="A44" s="6" t="s">
        <v>51</v>
      </c>
      <c r="B44" s="7">
        <v>321.99</v>
      </c>
      <c r="C44" s="7">
        <v>351.62</v>
      </c>
      <c r="D44" s="7">
        <v>311.5</v>
      </c>
      <c r="E44" s="7">
        <v>349.98</v>
      </c>
      <c r="F44" s="8">
        <v>349.98</v>
      </c>
      <c r="G44" s="9">
        <v>5.805949E8</v>
      </c>
    </row>
    <row r="45">
      <c r="A45" s="6" t="s">
        <v>52</v>
      </c>
      <c r="B45" s="7">
        <v>284.57</v>
      </c>
      <c r="C45" s="7">
        <v>307.04</v>
      </c>
      <c r="D45" s="7">
        <v>271.0</v>
      </c>
      <c r="E45" s="7">
        <v>298.26</v>
      </c>
      <c r="F45" s="8">
        <v>298.26</v>
      </c>
      <c r="G45" s="9">
        <v>4.728545E8</v>
      </c>
    </row>
    <row r="46">
      <c r="A46" s="6" t="s">
        <v>53</v>
      </c>
      <c r="B46" s="7">
        <v>288.98</v>
      </c>
      <c r="C46" s="7">
        <v>294.86</v>
      </c>
      <c r="D46" s="7">
        <v>270.78</v>
      </c>
      <c r="E46" s="7">
        <v>287.21</v>
      </c>
      <c r="F46" s="8">
        <v>287.21</v>
      </c>
      <c r="G46" s="9">
        <v>6.037132E8</v>
      </c>
    </row>
    <row r="47">
      <c r="A47" s="6" t="s">
        <v>54</v>
      </c>
      <c r="B47" s="7">
        <v>230.26</v>
      </c>
      <c r="C47" s="7">
        <v>286.85</v>
      </c>
      <c r="D47" s="7">
        <v>222.79</v>
      </c>
      <c r="E47" s="7">
        <v>284.95</v>
      </c>
      <c r="F47" s="8">
        <v>284.95</v>
      </c>
      <c r="G47" s="9">
        <v>6.310333E8</v>
      </c>
    </row>
    <row r="48">
      <c r="A48" s="6" t="s">
        <v>55</v>
      </c>
      <c r="B48" s="7">
        <v>258.36</v>
      </c>
      <c r="C48" s="7">
        <v>261.8</v>
      </c>
      <c r="D48" s="7">
        <v>233.89</v>
      </c>
      <c r="E48" s="7">
        <v>241.37</v>
      </c>
      <c r="F48" s="8">
        <v>241.37</v>
      </c>
      <c r="G48" s="9">
        <v>3.75513E8</v>
      </c>
    </row>
    <row r="49">
      <c r="A49" s="6" t="s">
        <v>56</v>
      </c>
      <c r="B49" s="7">
        <v>223.78</v>
      </c>
      <c r="C49" s="7">
        <v>274.69</v>
      </c>
      <c r="D49" s="7">
        <v>214.25</v>
      </c>
      <c r="E49" s="7">
        <v>252.31</v>
      </c>
      <c r="F49" s="8">
        <v>252.31</v>
      </c>
      <c r="G49" s="9">
        <v>8.851614E8</v>
      </c>
    </row>
    <row r="50">
      <c r="A50" s="6" t="s">
        <v>57</v>
      </c>
      <c r="B50" s="7">
        <v>249.31</v>
      </c>
      <c r="C50" s="7">
        <v>284.99</v>
      </c>
      <c r="D50" s="7">
        <v>236.0</v>
      </c>
      <c r="E50" s="7">
        <v>239.43</v>
      </c>
      <c r="F50" s="8">
        <v>239.43</v>
      </c>
      <c r="G50" s="9">
        <v>8.106873E8</v>
      </c>
    </row>
    <row r="51">
      <c r="A51" s="6" t="s">
        <v>58</v>
      </c>
      <c r="B51" s="7">
        <v>258.08</v>
      </c>
      <c r="C51" s="7">
        <v>291.85</v>
      </c>
      <c r="D51" s="7">
        <v>256.33</v>
      </c>
      <c r="E51" s="7">
        <v>263.55</v>
      </c>
      <c r="F51" s="8">
        <v>263.55</v>
      </c>
      <c r="G51" s="9">
        <v>7.594527E8</v>
      </c>
    </row>
    <row r="52">
      <c r="A52" s="6" t="s">
        <v>59</v>
      </c>
      <c r="B52" s="7">
        <v>245.06</v>
      </c>
      <c r="C52" s="7">
        <v>249.52</v>
      </c>
      <c r="D52" s="7">
        <v>222.28</v>
      </c>
      <c r="E52" s="7">
        <v>248.71</v>
      </c>
      <c r="F52" s="8">
        <v>248.71</v>
      </c>
      <c r="G52" s="9">
        <v>5.67129E8</v>
      </c>
    </row>
    <row r="53">
      <c r="A53" s="6" t="s">
        <v>60</v>
      </c>
      <c r="B53" s="7">
        <v>252.54</v>
      </c>
      <c r="C53" s="7">
        <v>253.37</v>
      </c>
      <c r="D53" s="7">
        <v>217.02</v>
      </c>
      <c r="E53" s="7">
        <v>249.98</v>
      </c>
      <c r="F53" s="8">
        <v>249.98</v>
      </c>
      <c r="G53" s="9">
        <v>7.212448E8</v>
      </c>
    </row>
    <row r="54">
      <c r="A54" s="6" t="s">
        <v>61</v>
      </c>
      <c r="B54" s="7">
        <v>272.92</v>
      </c>
      <c r="C54" s="7">
        <v>279.55</v>
      </c>
      <c r="D54" s="7">
        <v>250.73</v>
      </c>
      <c r="E54" s="7">
        <v>262.67</v>
      </c>
      <c r="F54" s="8">
        <v>262.67</v>
      </c>
      <c r="G54" s="9">
        <v>2.948641E8</v>
      </c>
    </row>
    <row r="55">
      <c r="A55" s="6"/>
      <c r="B55" s="7"/>
      <c r="C55" s="7"/>
      <c r="D55" s="7"/>
      <c r="E55" s="7"/>
      <c r="F55" s="8"/>
      <c r="G55" s="9"/>
    </row>
    <row r="56">
      <c r="A56" s="10"/>
      <c r="F56" s="11"/>
    </row>
    <row r="57">
      <c r="A57" s="12"/>
      <c r="F57" s="11"/>
    </row>
    <row r="58">
      <c r="A58" s="12"/>
      <c r="F58" s="11"/>
    </row>
    <row r="59">
      <c r="A59" s="12"/>
      <c r="F59" s="11"/>
    </row>
    <row r="60">
      <c r="A60" s="12"/>
      <c r="F60" s="11"/>
    </row>
    <row r="61">
      <c r="A61" s="12"/>
      <c r="F61" s="11"/>
    </row>
    <row r="62">
      <c r="A62" s="12"/>
      <c r="F62" s="11"/>
    </row>
    <row r="63">
      <c r="A63" s="12"/>
      <c r="F63" s="11"/>
    </row>
    <row r="64">
      <c r="A64" s="12"/>
      <c r="F64" s="11"/>
    </row>
    <row r="65">
      <c r="A65" s="12"/>
      <c r="F65" s="11"/>
    </row>
    <row r="66">
      <c r="A66" s="12"/>
      <c r="F66" s="11"/>
    </row>
    <row r="67">
      <c r="A67" s="12"/>
      <c r="F67" s="11"/>
    </row>
    <row r="68">
      <c r="A68" s="12"/>
      <c r="F68" s="11"/>
    </row>
    <row r="69">
      <c r="A69" s="12"/>
      <c r="F69" s="11"/>
    </row>
    <row r="70">
      <c r="A70" s="12"/>
      <c r="F70" s="11"/>
    </row>
    <row r="71">
      <c r="A71" s="12"/>
      <c r="F71" s="11"/>
    </row>
    <row r="72">
      <c r="A72" s="12"/>
      <c r="F72" s="11"/>
    </row>
    <row r="73">
      <c r="A73" s="12"/>
      <c r="F73" s="11"/>
    </row>
    <row r="74">
      <c r="A74" s="12"/>
      <c r="F74" s="11"/>
    </row>
    <row r="75">
      <c r="A75" s="12"/>
      <c r="F75" s="11"/>
    </row>
    <row r="76">
      <c r="A76" s="12"/>
      <c r="F76" s="11"/>
    </row>
    <row r="77">
      <c r="A77" s="12"/>
      <c r="F77" s="11"/>
    </row>
    <row r="78">
      <c r="A78" s="12"/>
      <c r="F78" s="11"/>
    </row>
    <row r="79">
      <c r="A79" s="12"/>
      <c r="F79" s="11"/>
    </row>
    <row r="80">
      <c r="A80" s="12"/>
      <c r="F80" s="11"/>
    </row>
    <row r="81">
      <c r="A81" s="12"/>
      <c r="F81" s="11"/>
    </row>
    <row r="82">
      <c r="A82" s="12"/>
      <c r="F82" s="11"/>
    </row>
    <row r="83">
      <c r="A83" s="12"/>
      <c r="F83" s="11"/>
    </row>
    <row r="84">
      <c r="A84" s="12"/>
      <c r="F84" s="11"/>
    </row>
    <row r="85">
      <c r="A85" s="12"/>
      <c r="F85" s="11"/>
    </row>
    <row r="86">
      <c r="A86" s="12"/>
      <c r="F86" s="11"/>
    </row>
    <row r="87">
      <c r="A87" s="12"/>
      <c r="F87" s="11"/>
    </row>
    <row r="88">
      <c r="A88" s="12"/>
      <c r="F88" s="11"/>
    </row>
    <row r="89">
      <c r="A89" s="12"/>
      <c r="F89" s="11"/>
    </row>
    <row r="90">
      <c r="A90" s="12"/>
      <c r="F90" s="11"/>
    </row>
    <row r="91">
      <c r="A91" s="12"/>
      <c r="F91" s="11"/>
    </row>
    <row r="92">
      <c r="A92" s="12"/>
      <c r="F92" s="11"/>
    </row>
    <row r="93">
      <c r="A93" s="12"/>
      <c r="F93" s="11"/>
    </row>
    <row r="94">
      <c r="A94" s="12"/>
      <c r="F94" s="11"/>
    </row>
    <row r="95">
      <c r="A95" s="12"/>
      <c r="F95" s="11"/>
    </row>
    <row r="96">
      <c r="A96" s="12"/>
      <c r="F96" s="11"/>
    </row>
    <row r="97">
      <c r="A97" s="12"/>
      <c r="F97" s="11"/>
    </row>
    <row r="98">
      <c r="A98" s="12"/>
      <c r="F98" s="11"/>
    </row>
    <row r="99">
      <c r="A99" s="12"/>
      <c r="F99" s="11"/>
    </row>
    <row r="100">
      <c r="A100" s="12"/>
      <c r="F100" s="11"/>
    </row>
    <row r="101">
      <c r="A101" s="12"/>
      <c r="F101" s="11"/>
    </row>
    <row r="102">
      <c r="A102" s="12"/>
      <c r="F102" s="11"/>
    </row>
    <row r="103">
      <c r="A103" s="12"/>
      <c r="F103" s="11"/>
    </row>
    <row r="104">
      <c r="A104" s="12"/>
      <c r="F104" s="11"/>
    </row>
    <row r="105">
      <c r="A105" s="12"/>
      <c r="F105" s="11"/>
    </row>
    <row r="106">
      <c r="A106" s="12"/>
      <c r="F106" s="11"/>
    </row>
    <row r="107">
      <c r="A107" s="12"/>
      <c r="F107" s="11"/>
    </row>
    <row r="108">
      <c r="A108" s="12"/>
      <c r="F108" s="11"/>
    </row>
    <row r="109">
      <c r="A109" s="12"/>
      <c r="F109" s="11"/>
    </row>
    <row r="110">
      <c r="A110" s="12"/>
      <c r="F110" s="11"/>
    </row>
    <row r="111">
      <c r="A111" s="12"/>
      <c r="F111" s="11"/>
    </row>
    <row r="112">
      <c r="A112" s="12"/>
      <c r="F112" s="11"/>
    </row>
    <row r="113">
      <c r="A113" s="12"/>
      <c r="F113" s="11"/>
    </row>
    <row r="114">
      <c r="A114" s="12"/>
      <c r="F114" s="11"/>
    </row>
    <row r="115">
      <c r="A115" s="12"/>
      <c r="F115" s="11"/>
    </row>
    <row r="116">
      <c r="A116" s="12"/>
      <c r="F116" s="11"/>
    </row>
    <row r="117">
      <c r="A117" s="12"/>
      <c r="F117" s="11"/>
    </row>
    <row r="118">
      <c r="A118" s="12"/>
      <c r="F118" s="11"/>
    </row>
    <row r="119">
      <c r="A119" s="12"/>
      <c r="F119" s="11"/>
    </row>
    <row r="120">
      <c r="A120" s="12"/>
      <c r="F120" s="11"/>
    </row>
    <row r="121">
      <c r="A121" s="12"/>
      <c r="F121" s="11"/>
    </row>
    <row r="122">
      <c r="A122" s="12"/>
      <c r="F122" s="11"/>
    </row>
    <row r="123">
      <c r="A123" s="12"/>
      <c r="F123" s="11"/>
    </row>
    <row r="124">
      <c r="A124" s="12"/>
      <c r="F124" s="11"/>
    </row>
    <row r="125">
      <c r="A125" s="12"/>
      <c r="F125" s="11"/>
    </row>
    <row r="126">
      <c r="A126" s="12"/>
      <c r="F126" s="11"/>
    </row>
    <row r="127">
      <c r="A127" s="12"/>
      <c r="F127" s="11"/>
    </row>
    <row r="128">
      <c r="A128" s="12"/>
      <c r="F128" s="11"/>
    </row>
    <row r="129">
      <c r="A129" s="12"/>
      <c r="F129" s="11"/>
    </row>
    <row r="130">
      <c r="A130" s="12"/>
      <c r="F130" s="11"/>
    </row>
    <row r="131">
      <c r="A131" s="12"/>
      <c r="F131" s="11"/>
    </row>
    <row r="132">
      <c r="A132" s="12"/>
      <c r="F132" s="11"/>
    </row>
    <row r="133">
      <c r="A133" s="12"/>
      <c r="F133" s="11"/>
    </row>
    <row r="134">
      <c r="A134" s="12"/>
      <c r="F134" s="11"/>
    </row>
    <row r="135">
      <c r="A135" s="12"/>
      <c r="F135" s="11"/>
    </row>
    <row r="136">
      <c r="A136" s="12"/>
      <c r="F136" s="11"/>
    </row>
    <row r="137">
      <c r="A137" s="12"/>
      <c r="F137" s="11"/>
    </row>
    <row r="138">
      <c r="A138" s="12"/>
      <c r="F138" s="11"/>
    </row>
    <row r="139">
      <c r="A139" s="12"/>
      <c r="F139" s="11"/>
    </row>
    <row r="140">
      <c r="A140" s="12"/>
      <c r="F140" s="11"/>
    </row>
    <row r="141">
      <c r="A141" s="12"/>
      <c r="F141" s="11"/>
    </row>
    <row r="142">
      <c r="A142" s="12"/>
      <c r="F142" s="11"/>
    </row>
    <row r="143">
      <c r="A143" s="12"/>
      <c r="F143" s="11"/>
    </row>
    <row r="144">
      <c r="A144" s="12"/>
      <c r="F144" s="11"/>
    </row>
    <row r="145">
      <c r="A145" s="12"/>
      <c r="F145" s="11"/>
    </row>
    <row r="146">
      <c r="A146" s="12"/>
      <c r="F146" s="11"/>
    </row>
    <row r="147">
      <c r="A147" s="12"/>
      <c r="F147" s="11"/>
    </row>
    <row r="148">
      <c r="A148" s="12"/>
      <c r="F148" s="11"/>
    </row>
    <row r="149">
      <c r="A149" s="12"/>
      <c r="F149" s="11"/>
    </row>
    <row r="150">
      <c r="A150" s="12"/>
      <c r="F150" s="11"/>
    </row>
    <row r="151">
      <c r="A151" s="12"/>
      <c r="F151" s="11"/>
    </row>
    <row r="152">
      <c r="A152" s="12"/>
      <c r="F152" s="11"/>
    </row>
    <row r="153">
      <c r="A153" s="12"/>
      <c r="F153" s="11"/>
    </row>
    <row r="154">
      <c r="A154" s="12"/>
      <c r="F154" s="11"/>
    </row>
    <row r="155">
      <c r="A155" s="12"/>
      <c r="F155" s="11"/>
    </row>
    <row r="156">
      <c r="A156" s="12"/>
      <c r="F156" s="11"/>
    </row>
    <row r="157">
      <c r="A157" s="12"/>
      <c r="F157" s="11"/>
    </row>
    <row r="158">
      <c r="A158" s="12"/>
      <c r="F158" s="11"/>
    </row>
    <row r="159">
      <c r="A159" s="12"/>
      <c r="F159" s="11"/>
    </row>
    <row r="160">
      <c r="A160" s="12"/>
      <c r="F160" s="11"/>
    </row>
    <row r="161">
      <c r="A161" s="12"/>
      <c r="F161" s="11"/>
    </row>
    <row r="162">
      <c r="A162" s="12"/>
      <c r="F162" s="11"/>
    </row>
    <row r="163">
      <c r="A163" s="12"/>
      <c r="F163" s="11"/>
    </row>
    <row r="164">
      <c r="A164" s="12"/>
      <c r="F164" s="11"/>
    </row>
    <row r="165">
      <c r="A165" s="12"/>
      <c r="F165" s="11"/>
    </row>
    <row r="166">
      <c r="A166" s="12"/>
      <c r="F166" s="11"/>
    </row>
    <row r="167">
      <c r="A167" s="12"/>
      <c r="F167" s="11"/>
    </row>
    <row r="168">
      <c r="A168" s="12"/>
      <c r="F168" s="11"/>
    </row>
    <row r="169">
      <c r="A169" s="12"/>
      <c r="F169" s="11"/>
    </row>
    <row r="170">
      <c r="A170" s="12"/>
      <c r="F170" s="11"/>
    </row>
    <row r="171">
      <c r="A171" s="12"/>
      <c r="F171" s="11"/>
    </row>
    <row r="172">
      <c r="A172" s="12"/>
      <c r="F172" s="11"/>
    </row>
    <row r="173">
      <c r="A173" s="12"/>
      <c r="F173" s="11"/>
    </row>
    <row r="174">
      <c r="A174" s="12"/>
      <c r="F174" s="11"/>
    </row>
    <row r="175">
      <c r="A175" s="12"/>
      <c r="F175" s="11"/>
    </row>
    <row r="176">
      <c r="A176" s="12"/>
      <c r="F176" s="11"/>
    </row>
    <row r="177">
      <c r="A177" s="12"/>
      <c r="F177" s="11"/>
    </row>
    <row r="178">
      <c r="A178" s="12"/>
      <c r="F178" s="11"/>
    </row>
    <row r="179">
      <c r="A179" s="12"/>
      <c r="F179" s="11"/>
    </row>
    <row r="180">
      <c r="A180" s="12"/>
      <c r="F180" s="11"/>
    </row>
    <row r="181">
      <c r="A181" s="12"/>
      <c r="F181" s="11"/>
    </row>
    <row r="182">
      <c r="A182" s="12"/>
      <c r="F182" s="11"/>
    </row>
    <row r="183">
      <c r="A183" s="12"/>
      <c r="F183" s="11"/>
    </row>
    <row r="184">
      <c r="A184" s="12"/>
      <c r="F184" s="11"/>
    </row>
    <row r="185">
      <c r="A185" s="12"/>
      <c r="F185" s="11"/>
    </row>
    <row r="186">
      <c r="A186" s="12"/>
      <c r="F186" s="11"/>
    </row>
    <row r="187">
      <c r="A187" s="12"/>
      <c r="F187" s="11"/>
    </row>
    <row r="188">
      <c r="A188" s="12"/>
      <c r="F188" s="11"/>
    </row>
    <row r="189">
      <c r="A189" s="12"/>
      <c r="F189" s="11"/>
    </row>
    <row r="190">
      <c r="A190" s="12"/>
      <c r="F190" s="11"/>
    </row>
    <row r="191">
      <c r="A191" s="12"/>
      <c r="F191" s="11"/>
    </row>
    <row r="192">
      <c r="A192" s="12"/>
      <c r="F192" s="11"/>
    </row>
    <row r="193">
      <c r="A193" s="12"/>
      <c r="F193" s="11"/>
    </row>
    <row r="194">
      <c r="A194" s="12"/>
      <c r="F194" s="11"/>
    </row>
    <row r="195">
      <c r="A195" s="12"/>
      <c r="F195" s="11"/>
    </row>
    <row r="196">
      <c r="A196" s="12"/>
      <c r="F196" s="11"/>
    </row>
    <row r="197">
      <c r="A197" s="12"/>
      <c r="F197" s="11"/>
    </row>
    <row r="198">
      <c r="A198" s="12"/>
      <c r="F198" s="11"/>
    </row>
    <row r="199">
      <c r="A199" s="12"/>
      <c r="F199" s="11"/>
    </row>
    <row r="200">
      <c r="A200" s="12"/>
      <c r="F200" s="11"/>
    </row>
    <row r="201">
      <c r="A201" s="12"/>
      <c r="F201" s="11"/>
    </row>
    <row r="202">
      <c r="A202" s="12"/>
      <c r="F202" s="11"/>
    </row>
    <row r="203">
      <c r="A203" s="12"/>
      <c r="F203" s="11"/>
    </row>
    <row r="204">
      <c r="A204" s="12"/>
      <c r="F204" s="11"/>
    </row>
    <row r="205">
      <c r="A205" s="12"/>
      <c r="F205" s="11"/>
    </row>
    <row r="206">
      <c r="A206" s="12"/>
      <c r="F206" s="11"/>
    </row>
    <row r="207">
      <c r="A207" s="12"/>
      <c r="F207" s="11"/>
    </row>
    <row r="208">
      <c r="A208" s="12"/>
      <c r="F208" s="11"/>
    </row>
    <row r="209">
      <c r="A209" s="12"/>
      <c r="F209" s="11"/>
    </row>
    <row r="210">
      <c r="A210" s="12"/>
      <c r="F210" s="11"/>
    </row>
    <row r="211">
      <c r="A211" s="12"/>
      <c r="F211" s="11"/>
    </row>
    <row r="212">
      <c r="A212" s="12"/>
      <c r="F212" s="11"/>
    </row>
    <row r="213">
      <c r="A213" s="12"/>
      <c r="F213" s="11"/>
    </row>
    <row r="214">
      <c r="A214" s="12"/>
      <c r="F214" s="11"/>
    </row>
    <row r="215">
      <c r="A215" s="12"/>
      <c r="F215" s="11"/>
    </row>
    <row r="216">
      <c r="A216" s="12"/>
      <c r="F216" s="11"/>
    </row>
    <row r="217">
      <c r="A217" s="12"/>
      <c r="F217" s="11"/>
    </row>
    <row r="218">
      <c r="A218" s="12"/>
      <c r="F218" s="11"/>
    </row>
    <row r="219">
      <c r="A219" s="12"/>
      <c r="F219" s="11"/>
    </row>
    <row r="220">
      <c r="A220" s="12"/>
      <c r="F220" s="11"/>
    </row>
    <row r="221">
      <c r="A221" s="12"/>
      <c r="F221" s="11"/>
    </row>
    <row r="222">
      <c r="A222" s="12"/>
      <c r="F222" s="11"/>
    </row>
    <row r="223">
      <c r="A223" s="12"/>
      <c r="F223" s="11"/>
    </row>
    <row r="224">
      <c r="A224" s="12"/>
      <c r="F224" s="11"/>
    </row>
    <row r="225">
      <c r="A225" s="12"/>
      <c r="F225" s="11"/>
    </row>
    <row r="226">
      <c r="A226" s="12"/>
      <c r="F226" s="11"/>
    </row>
    <row r="227">
      <c r="A227" s="12"/>
      <c r="F227" s="11"/>
    </row>
    <row r="228">
      <c r="A228" s="12"/>
      <c r="F228" s="11"/>
    </row>
    <row r="229">
      <c r="A229" s="12"/>
      <c r="F229" s="11"/>
    </row>
    <row r="230">
      <c r="A230" s="12"/>
      <c r="F230" s="11"/>
    </row>
    <row r="231">
      <c r="A231" s="12"/>
      <c r="F231" s="11"/>
    </row>
    <row r="232">
      <c r="A232" s="12"/>
      <c r="F232" s="11"/>
    </row>
    <row r="233">
      <c r="A233" s="12"/>
      <c r="F233" s="11"/>
    </row>
    <row r="234">
      <c r="A234" s="12"/>
      <c r="F234" s="11"/>
    </row>
    <row r="235">
      <c r="A235" s="12"/>
      <c r="F235" s="11"/>
    </row>
    <row r="236">
      <c r="A236" s="12"/>
      <c r="F236" s="11"/>
    </row>
    <row r="237">
      <c r="A237" s="12"/>
      <c r="F237" s="11"/>
    </row>
    <row r="238">
      <c r="A238" s="12"/>
      <c r="F238" s="11"/>
    </row>
    <row r="239">
      <c r="A239" s="12"/>
      <c r="F239" s="11"/>
    </row>
    <row r="240">
      <c r="A240" s="12"/>
      <c r="F240" s="11"/>
    </row>
    <row r="241">
      <c r="A241" s="12"/>
      <c r="F241" s="11"/>
    </row>
    <row r="242">
      <c r="A242" s="12"/>
      <c r="F242" s="11"/>
    </row>
    <row r="243">
      <c r="A243" s="12"/>
      <c r="F243" s="11"/>
    </row>
    <row r="244">
      <c r="A244" s="12"/>
      <c r="F244" s="11"/>
    </row>
    <row r="245">
      <c r="A245" s="12"/>
      <c r="F245" s="11"/>
    </row>
    <row r="246">
      <c r="A246" s="12"/>
      <c r="F246" s="11"/>
    </row>
    <row r="247">
      <c r="A247" s="12"/>
      <c r="F247" s="11"/>
    </row>
    <row r="248">
      <c r="A248" s="12"/>
      <c r="F248" s="11"/>
    </row>
    <row r="249">
      <c r="A249" s="12"/>
      <c r="F249" s="11"/>
    </row>
    <row r="250">
      <c r="A250" s="12"/>
      <c r="F250" s="11"/>
    </row>
    <row r="251">
      <c r="A251" s="12"/>
      <c r="F251" s="11"/>
    </row>
    <row r="252">
      <c r="A252" s="12"/>
      <c r="F252" s="11"/>
    </row>
    <row r="253">
      <c r="A253" s="12"/>
      <c r="F253" s="11"/>
    </row>
    <row r="254">
      <c r="A254" s="12"/>
      <c r="F254" s="11"/>
    </row>
    <row r="255">
      <c r="A255" s="12"/>
      <c r="F255" s="11"/>
    </row>
    <row r="256">
      <c r="A256" s="12"/>
      <c r="F256" s="11"/>
    </row>
    <row r="257">
      <c r="A257" s="12"/>
      <c r="F257" s="11"/>
    </row>
    <row r="258">
      <c r="A258" s="12"/>
      <c r="F258" s="11"/>
    </row>
    <row r="259">
      <c r="A259" s="12"/>
      <c r="F259" s="11"/>
    </row>
    <row r="260">
      <c r="A260" s="12"/>
      <c r="F260" s="11"/>
    </row>
    <row r="261">
      <c r="A261" s="12"/>
      <c r="F261" s="11"/>
    </row>
    <row r="262">
      <c r="A262" s="12"/>
      <c r="F262" s="11"/>
    </row>
    <row r="263">
      <c r="A263" s="12"/>
      <c r="F263" s="11"/>
    </row>
    <row r="264">
      <c r="A264" s="12"/>
      <c r="F264" s="11"/>
    </row>
    <row r="265">
      <c r="A265" s="12"/>
      <c r="F265" s="11"/>
    </row>
    <row r="266">
      <c r="A266" s="12"/>
      <c r="F266" s="11"/>
    </row>
    <row r="267">
      <c r="A267" s="12"/>
      <c r="F267" s="11"/>
    </row>
    <row r="268">
      <c r="A268" s="12"/>
      <c r="F268" s="11"/>
    </row>
    <row r="269">
      <c r="A269" s="12"/>
      <c r="F269" s="11"/>
    </row>
    <row r="270">
      <c r="A270" s="12"/>
      <c r="F270" s="11"/>
    </row>
    <row r="271">
      <c r="A271" s="12"/>
      <c r="F271" s="11"/>
    </row>
    <row r="272">
      <c r="A272" s="12"/>
      <c r="F272" s="11"/>
    </row>
    <row r="273">
      <c r="A273" s="12"/>
      <c r="F273" s="11"/>
    </row>
    <row r="274">
      <c r="A274" s="12"/>
      <c r="F274" s="11"/>
    </row>
    <row r="275">
      <c r="A275" s="12"/>
      <c r="F275" s="11"/>
    </row>
    <row r="276">
      <c r="A276" s="12"/>
      <c r="F276" s="11"/>
    </row>
    <row r="277">
      <c r="A277" s="12"/>
      <c r="F277" s="11"/>
    </row>
    <row r="278">
      <c r="A278" s="12"/>
      <c r="F278" s="11"/>
    </row>
    <row r="279">
      <c r="A279" s="12"/>
      <c r="F279" s="11"/>
    </row>
    <row r="280">
      <c r="A280" s="12"/>
      <c r="F280" s="11"/>
    </row>
    <row r="281">
      <c r="A281" s="12"/>
      <c r="F281" s="11"/>
    </row>
    <row r="282">
      <c r="A282" s="12"/>
      <c r="F282" s="11"/>
    </row>
    <row r="283">
      <c r="A283" s="12"/>
      <c r="F283" s="11"/>
    </row>
    <row r="284">
      <c r="A284" s="12"/>
      <c r="F284" s="11"/>
    </row>
    <row r="285">
      <c r="A285" s="12"/>
      <c r="F285" s="11"/>
    </row>
    <row r="286">
      <c r="A286" s="12"/>
      <c r="F286" s="11"/>
    </row>
    <row r="287">
      <c r="A287" s="12"/>
      <c r="F287" s="11"/>
    </row>
    <row r="288">
      <c r="A288" s="12"/>
      <c r="F288" s="11"/>
    </row>
    <row r="289">
      <c r="A289" s="12"/>
      <c r="F289" s="11"/>
    </row>
    <row r="290">
      <c r="A290" s="12"/>
      <c r="F290" s="11"/>
    </row>
    <row r="291">
      <c r="A291" s="12"/>
      <c r="F291" s="11"/>
    </row>
    <row r="292">
      <c r="A292" s="12"/>
      <c r="F292" s="11"/>
    </row>
    <row r="293">
      <c r="A293" s="12"/>
      <c r="F293" s="11"/>
    </row>
    <row r="294">
      <c r="A294" s="12"/>
      <c r="F294" s="11"/>
    </row>
    <row r="295">
      <c r="A295" s="12"/>
      <c r="F295" s="11"/>
    </row>
    <row r="296">
      <c r="A296" s="12"/>
      <c r="F296" s="11"/>
    </row>
    <row r="297">
      <c r="A297" s="12"/>
      <c r="F297" s="11"/>
    </row>
    <row r="298">
      <c r="A298" s="12"/>
      <c r="F298" s="11"/>
    </row>
    <row r="299">
      <c r="A299" s="12"/>
      <c r="F299" s="11"/>
    </row>
    <row r="300">
      <c r="A300" s="12"/>
      <c r="F300" s="11"/>
    </row>
    <row r="301">
      <c r="A301" s="12"/>
      <c r="F301" s="11"/>
    </row>
    <row r="302">
      <c r="A302" s="12"/>
      <c r="F302" s="11"/>
    </row>
    <row r="303">
      <c r="A303" s="12"/>
      <c r="F303" s="11"/>
    </row>
    <row r="304">
      <c r="A304" s="12"/>
      <c r="F304" s="11"/>
    </row>
    <row r="305">
      <c r="A305" s="12"/>
      <c r="F305" s="11"/>
    </row>
    <row r="306">
      <c r="A306" s="12"/>
      <c r="F306" s="11"/>
    </row>
    <row r="307">
      <c r="A307" s="12"/>
      <c r="F307" s="11"/>
    </row>
    <row r="308">
      <c r="A308" s="12"/>
      <c r="F308" s="11"/>
    </row>
    <row r="309">
      <c r="A309" s="12"/>
      <c r="F309" s="11"/>
    </row>
    <row r="310">
      <c r="A310" s="12"/>
      <c r="F310" s="11"/>
    </row>
    <row r="311">
      <c r="A311" s="12"/>
      <c r="F311" s="11"/>
    </row>
    <row r="312">
      <c r="A312" s="12"/>
      <c r="F312" s="11"/>
    </row>
    <row r="313">
      <c r="A313" s="12"/>
      <c r="F313" s="11"/>
    </row>
    <row r="314">
      <c r="A314" s="12"/>
      <c r="F314" s="11"/>
    </row>
    <row r="315">
      <c r="A315" s="12"/>
      <c r="F315" s="11"/>
    </row>
    <row r="316">
      <c r="A316" s="12"/>
      <c r="F316" s="11"/>
    </row>
    <row r="317">
      <c r="A317" s="12"/>
      <c r="F317" s="11"/>
    </row>
    <row r="318">
      <c r="A318" s="12"/>
      <c r="F318" s="11"/>
    </row>
    <row r="319">
      <c r="A319" s="12"/>
      <c r="F319" s="11"/>
    </row>
    <row r="320">
      <c r="A320" s="12"/>
      <c r="F320" s="11"/>
    </row>
    <row r="321">
      <c r="A321" s="12"/>
      <c r="F321" s="11"/>
    </row>
    <row r="322">
      <c r="A322" s="12"/>
      <c r="F322" s="11"/>
    </row>
    <row r="323">
      <c r="A323" s="12"/>
      <c r="F323" s="11"/>
    </row>
    <row r="324">
      <c r="A324" s="12"/>
      <c r="F324" s="11"/>
    </row>
    <row r="325">
      <c r="A325" s="12"/>
      <c r="F325" s="11"/>
    </row>
    <row r="326">
      <c r="A326" s="12"/>
      <c r="F326" s="11"/>
    </row>
    <row r="327">
      <c r="A327" s="12"/>
      <c r="F327" s="11"/>
    </row>
    <row r="328">
      <c r="A328" s="12"/>
      <c r="F328" s="11"/>
    </row>
    <row r="329">
      <c r="A329" s="12"/>
      <c r="F329" s="11"/>
    </row>
    <row r="330">
      <c r="A330" s="12"/>
      <c r="F330" s="11"/>
    </row>
    <row r="331">
      <c r="A331" s="12"/>
      <c r="F331" s="11"/>
    </row>
    <row r="332">
      <c r="A332" s="12"/>
      <c r="F332" s="11"/>
    </row>
    <row r="333">
      <c r="A333" s="12"/>
      <c r="F333" s="11"/>
    </row>
    <row r="334">
      <c r="A334" s="12"/>
      <c r="F334" s="11"/>
    </row>
    <row r="335">
      <c r="A335" s="12"/>
      <c r="F335" s="11"/>
    </row>
    <row r="336">
      <c r="A336" s="12"/>
      <c r="F336" s="11"/>
    </row>
    <row r="337">
      <c r="A337" s="12"/>
      <c r="F337" s="11"/>
    </row>
    <row r="338">
      <c r="A338" s="12"/>
      <c r="F338" s="11"/>
    </row>
    <row r="339">
      <c r="A339" s="12"/>
      <c r="F339" s="11"/>
    </row>
    <row r="340">
      <c r="A340" s="12"/>
      <c r="F340" s="11"/>
    </row>
    <row r="341">
      <c r="A341" s="12"/>
      <c r="F341" s="11"/>
    </row>
    <row r="342">
      <c r="A342" s="12"/>
      <c r="F342" s="11"/>
    </row>
    <row r="343">
      <c r="A343" s="12"/>
      <c r="F343" s="11"/>
    </row>
    <row r="344">
      <c r="A344" s="12"/>
      <c r="F344" s="11"/>
    </row>
    <row r="345">
      <c r="A345" s="12"/>
      <c r="F345" s="11"/>
    </row>
    <row r="346">
      <c r="A346" s="12"/>
      <c r="F346" s="11"/>
    </row>
    <row r="347">
      <c r="A347" s="12"/>
      <c r="F347" s="11"/>
    </row>
    <row r="348">
      <c r="A348" s="12"/>
      <c r="F348" s="11"/>
    </row>
    <row r="349">
      <c r="A349" s="12"/>
      <c r="F349" s="11"/>
    </row>
    <row r="350">
      <c r="A350" s="12"/>
      <c r="F350" s="11"/>
    </row>
    <row r="351">
      <c r="A351" s="12"/>
      <c r="F351" s="11"/>
    </row>
    <row r="352">
      <c r="A352" s="12"/>
      <c r="F352" s="11"/>
    </row>
    <row r="353">
      <c r="A353" s="12"/>
      <c r="F353" s="11"/>
    </row>
    <row r="354">
      <c r="A354" s="12"/>
      <c r="F354" s="11"/>
    </row>
    <row r="355">
      <c r="A355" s="12"/>
      <c r="F355" s="11"/>
    </row>
    <row r="356">
      <c r="A356" s="12"/>
      <c r="F356" s="11"/>
    </row>
    <row r="357">
      <c r="A357" s="12"/>
      <c r="F357" s="11"/>
    </row>
    <row r="358">
      <c r="A358" s="12"/>
      <c r="F358" s="11"/>
    </row>
    <row r="359">
      <c r="A359" s="12"/>
      <c r="F359" s="11"/>
    </row>
    <row r="360">
      <c r="A360" s="12"/>
      <c r="F360" s="11"/>
    </row>
    <row r="361">
      <c r="A361" s="12"/>
      <c r="F361" s="11"/>
    </row>
    <row r="362">
      <c r="A362" s="12"/>
      <c r="F362" s="11"/>
    </row>
    <row r="363">
      <c r="A363" s="12"/>
      <c r="F363" s="11"/>
    </row>
    <row r="364">
      <c r="A364" s="12"/>
      <c r="F364" s="11"/>
    </row>
    <row r="365">
      <c r="A365" s="12"/>
      <c r="F365" s="11"/>
    </row>
    <row r="366">
      <c r="A366" s="12"/>
      <c r="F366" s="11"/>
    </row>
    <row r="367">
      <c r="A367" s="12"/>
      <c r="F367" s="11"/>
    </row>
    <row r="368">
      <c r="A368" s="12"/>
      <c r="F368" s="11"/>
    </row>
    <row r="369">
      <c r="A369" s="12"/>
      <c r="F369" s="11"/>
    </row>
    <row r="370">
      <c r="A370" s="12"/>
      <c r="F370" s="11"/>
    </row>
    <row r="371">
      <c r="A371" s="12"/>
      <c r="F371" s="11"/>
    </row>
    <row r="372">
      <c r="A372" s="12"/>
      <c r="F372" s="11"/>
    </row>
    <row r="373">
      <c r="A373" s="12"/>
      <c r="F373" s="11"/>
    </row>
    <row r="374">
      <c r="A374" s="12"/>
      <c r="F374" s="11"/>
    </row>
    <row r="375">
      <c r="A375" s="12"/>
      <c r="F375" s="11"/>
    </row>
    <row r="376">
      <c r="A376" s="12"/>
      <c r="F376" s="11"/>
    </row>
    <row r="377">
      <c r="A377" s="12"/>
      <c r="F377" s="11"/>
    </row>
    <row r="378">
      <c r="A378" s="12"/>
      <c r="F378" s="11"/>
    </row>
    <row r="379">
      <c r="A379" s="12"/>
      <c r="F379" s="11"/>
    </row>
    <row r="380">
      <c r="A380" s="12"/>
      <c r="F380" s="11"/>
    </row>
    <row r="381">
      <c r="A381" s="12"/>
      <c r="F381" s="11"/>
    </row>
    <row r="382">
      <c r="A382" s="12"/>
      <c r="F382" s="11"/>
    </row>
    <row r="383">
      <c r="A383" s="12"/>
      <c r="F383" s="11"/>
    </row>
    <row r="384">
      <c r="A384" s="12"/>
      <c r="F384" s="11"/>
    </row>
    <row r="385">
      <c r="A385" s="12"/>
      <c r="F385" s="11"/>
    </row>
    <row r="386">
      <c r="A386" s="12"/>
      <c r="F386" s="11"/>
    </row>
    <row r="387">
      <c r="A387" s="12"/>
      <c r="F387" s="11"/>
    </row>
    <row r="388">
      <c r="A388" s="12"/>
      <c r="F388" s="11"/>
    </row>
    <row r="389">
      <c r="A389" s="12"/>
      <c r="F389" s="11"/>
    </row>
    <row r="390">
      <c r="A390" s="12"/>
      <c r="F390" s="11"/>
    </row>
    <row r="391">
      <c r="A391" s="12"/>
      <c r="F391" s="11"/>
    </row>
    <row r="392">
      <c r="A392" s="12"/>
      <c r="F392" s="11"/>
    </row>
    <row r="393">
      <c r="A393" s="12"/>
      <c r="F393" s="11"/>
    </row>
    <row r="394">
      <c r="A394" s="12"/>
      <c r="F394" s="11"/>
    </row>
    <row r="395">
      <c r="A395" s="12"/>
      <c r="F395" s="11"/>
    </row>
    <row r="396">
      <c r="A396" s="12"/>
      <c r="F396" s="11"/>
    </row>
    <row r="397">
      <c r="A397" s="12"/>
      <c r="F397" s="11"/>
    </row>
    <row r="398">
      <c r="A398" s="12"/>
      <c r="F398" s="11"/>
    </row>
    <row r="399">
      <c r="A399" s="12"/>
      <c r="F399" s="11"/>
    </row>
    <row r="400">
      <c r="A400" s="12"/>
      <c r="F400" s="11"/>
    </row>
    <row r="401">
      <c r="A401" s="12"/>
      <c r="F401" s="11"/>
    </row>
    <row r="402">
      <c r="A402" s="12"/>
      <c r="F402" s="11"/>
    </row>
    <row r="403">
      <c r="A403" s="12"/>
      <c r="F403" s="11"/>
    </row>
    <row r="404">
      <c r="A404" s="12"/>
      <c r="F404" s="11"/>
    </row>
    <row r="405">
      <c r="A405" s="12"/>
      <c r="F405" s="11"/>
    </row>
    <row r="406">
      <c r="A406" s="12"/>
      <c r="F406" s="11"/>
    </row>
    <row r="407">
      <c r="A407" s="12"/>
      <c r="F407" s="11"/>
    </row>
    <row r="408">
      <c r="A408" s="12"/>
      <c r="F408" s="11"/>
    </row>
    <row r="409">
      <c r="A409" s="12"/>
      <c r="F409" s="11"/>
    </row>
    <row r="410">
      <c r="A410" s="12"/>
      <c r="F410" s="11"/>
    </row>
    <row r="411">
      <c r="A411" s="12"/>
      <c r="F411" s="11"/>
    </row>
    <row r="412">
      <c r="A412" s="12"/>
      <c r="F412" s="11"/>
    </row>
    <row r="413">
      <c r="A413" s="12"/>
      <c r="F413" s="11"/>
    </row>
    <row r="414">
      <c r="A414" s="12"/>
      <c r="F414" s="11"/>
    </row>
    <row r="415">
      <c r="A415" s="12"/>
      <c r="F415" s="11"/>
    </row>
    <row r="416">
      <c r="A416" s="12"/>
      <c r="F416" s="11"/>
    </row>
    <row r="417">
      <c r="A417" s="12"/>
      <c r="F417" s="11"/>
    </row>
    <row r="418">
      <c r="A418" s="12"/>
      <c r="F418" s="11"/>
    </row>
    <row r="419">
      <c r="A419" s="12"/>
      <c r="F419" s="11"/>
    </row>
    <row r="420">
      <c r="A420" s="12"/>
      <c r="F420" s="11"/>
    </row>
    <row r="421">
      <c r="A421" s="12"/>
      <c r="F421" s="11"/>
    </row>
    <row r="422">
      <c r="A422" s="12"/>
      <c r="F422" s="11"/>
    </row>
    <row r="423">
      <c r="A423" s="12"/>
      <c r="F423" s="11"/>
    </row>
    <row r="424">
      <c r="A424" s="12"/>
      <c r="F424" s="11"/>
    </row>
    <row r="425">
      <c r="A425" s="12"/>
      <c r="F425" s="11"/>
    </row>
    <row r="426">
      <c r="A426" s="12"/>
      <c r="F426" s="11"/>
    </row>
    <row r="427">
      <c r="A427" s="12"/>
      <c r="F427" s="11"/>
    </row>
    <row r="428">
      <c r="A428" s="12"/>
      <c r="F428" s="11"/>
    </row>
    <row r="429">
      <c r="A429" s="12"/>
      <c r="F429" s="11"/>
    </row>
    <row r="430">
      <c r="A430" s="12"/>
      <c r="F430" s="11"/>
    </row>
    <row r="431">
      <c r="A431" s="12"/>
      <c r="F431" s="11"/>
    </row>
    <row r="432">
      <c r="A432" s="12"/>
      <c r="F432" s="11"/>
    </row>
    <row r="433">
      <c r="A433" s="12"/>
      <c r="F433" s="11"/>
    </row>
    <row r="434">
      <c r="A434" s="12"/>
      <c r="F434" s="11"/>
    </row>
    <row r="435">
      <c r="A435" s="12"/>
      <c r="F435" s="11"/>
    </row>
    <row r="436">
      <c r="A436" s="12"/>
      <c r="F436" s="11"/>
    </row>
    <row r="437">
      <c r="A437" s="12"/>
      <c r="F437" s="11"/>
    </row>
    <row r="438">
      <c r="A438" s="12"/>
      <c r="F438" s="11"/>
    </row>
    <row r="439">
      <c r="A439" s="12"/>
      <c r="F439" s="11"/>
    </row>
    <row r="440">
      <c r="A440" s="12"/>
      <c r="F440" s="11"/>
    </row>
    <row r="441">
      <c r="A441" s="12"/>
      <c r="F441" s="11"/>
    </row>
    <row r="442">
      <c r="A442" s="12"/>
      <c r="F442" s="11"/>
    </row>
    <row r="443">
      <c r="A443" s="12"/>
      <c r="F443" s="11"/>
    </row>
    <row r="444">
      <c r="A444" s="12"/>
      <c r="F444" s="11"/>
    </row>
    <row r="445">
      <c r="A445" s="12"/>
      <c r="F445" s="11"/>
    </row>
    <row r="446">
      <c r="A446" s="12"/>
      <c r="F446" s="11"/>
    </row>
    <row r="447">
      <c r="A447" s="12"/>
      <c r="F447" s="11"/>
    </row>
    <row r="448">
      <c r="A448" s="12"/>
      <c r="F448" s="11"/>
    </row>
    <row r="449">
      <c r="A449" s="12"/>
      <c r="F449" s="11"/>
    </row>
    <row r="450">
      <c r="A450" s="12"/>
      <c r="F450" s="11"/>
    </row>
    <row r="451">
      <c r="A451" s="12"/>
      <c r="F451" s="11"/>
    </row>
    <row r="452">
      <c r="A452" s="12"/>
      <c r="F452" s="11"/>
    </row>
    <row r="453">
      <c r="A453" s="12"/>
      <c r="F453" s="11"/>
    </row>
    <row r="454">
      <c r="A454" s="12"/>
      <c r="F454" s="11"/>
    </row>
    <row r="455">
      <c r="A455" s="12"/>
      <c r="F455" s="11"/>
    </row>
    <row r="456">
      <c r="A456" s="12"/>
      <c r="F456" s="11"/>
    </row>
    <row r="457">
      <c r="A457" s="12"/>
      <c r="F457" s="11"/>
    </row>
    <row r="458">
      <c r="A458" s="12"/>
      <c r="F458" s="11"/>
    </row>
    <row r="459">
      <c r="A459" s="12"/>
      <c r="F459" s="11"/>
    </row>
    <row r="460">
      <c r="A460" s="12"/>
      <c r="F460" s="11"/>
    </row>
    <row r="461">
      <c r="A461" s="12"/>
      <c r="F461" s="11"/>
    </row>
    <row r="462">
      <c r="A462" s="12"/>
      <c r="F462" s="11"/>
    </row>
    <row r="463">
      <c r="A463" s="12"/>
      <c r="F463" s="11"/>
    </row>
    <row r="464">
      <c r="A464" s="12"/>
      <c r="F464" s="11"/>
    </row>
    <row r="465">
      <c r="A465" s="12"/>
      <c r="F465" s="11"/>
    </row>
    <row r="466">
      <c r="A466" s="12"/>
      <c r="F466" s="11"/>
    </row>
    <row r="467">
      <c r="A467" s="12"/>
      <c r="F467" s="11"/>
    </row>
    <row r="468">
      <c r="A468" s="12"/>
      <c r="F468" s="11"/>
    </row>
    <row r="469">
      <c r="A469" s="12"/>
      <c r="F469" s="11"/>
    </row>
    <row r="470">
      <c r="A470" s="12"/>
      <c r="F470" s="11"/>
    </row>
    <row r="471">
      <c r="A471" s="12"/>
      <c r="F471" s="11"/>
    </row>
    <row r="472">
      <c r="A472" s="12"/>
      <c r="F472" s="11"/>
    </row>
    <row r="473">
      <c r="A473" s="12"/>
      <c r="F473" s="11"/>
    </row>
    <row r="474">
      <c r="A474" s="12"/>
      <c r="F474" s="11"/>
    </row>
    <row r="475">
      <c r="A475" s="12"/>
      <c r="F475" s="11"/>
    </row>
    <row r="476">
      <c r="A476" s="12"/>
      <c r="F476" s="11"/>
    </row>
    <row r="477">
      <c r="A477" s="12"/>
      <c r="F477" s="11"/>
    </row>
    <row r="478">
      <c r="A478" s="12"/>
      <c r="F478" s="11"/>
    </row>
    <row r="479">
      <c r="A479" s="12"/>
      <c r="F479" s="11"/>
    </row>
    <row r="480">
      <c r="A480" s="12"/>
      <c r="F480" s="11"/>
    </row>
    <row r="481">
      <c r="A481" s="12"/>
      <c r="F481" s="11"/>
    </row>
    <row r="482">
      <c r="A482" s="12"/>
      <c r="F482" s="11"/>
    </row>
    <row r="483">
      <c r="A483" s="12"/>
      <c r="F483" s="11"/>
    </row>
    <row r="484">
      <c r="A484" s="12"/>
      <c r="F484" s="11"/>
    </row>
    <row r="485">
      <c r="A485" s="12"/>
      <c r="F485" s="11"/>
    </row>
    <row r="486">
      <c r="A486" s="12"/>
      <c r="F486" s="11"/>
    </row>
    <row r="487">
      <c r="A487" s="12"/>
      <c r="F487" s="11"/>
    </row>
    <row r="488">
      <c r="A488" s="12"/>
      <c r="F488" s="11"/>
    </row>
    <row r="489">
      <c r="A489" s="12"/>
      <c r="F489" s="11"/>
    </row>
    <row r="490">
      <c r="A490" s="12"/>
      <c r="F490" s="11"/>
    </row>
    <row r="491">
      <c r="A491" s="12"/>
      <c r="F491" s="11"/>
    </row>
    <row r="492">
      <c r="A492" s="12"/>
      <c r="F492" s="11"/>
    </row>
    <row r="493">
      <c r="A493" s="12"/>
      <c r="F493" s="11"/>
    </row>
    <row r="494">
      <c r="A494" s="12"/>
      <c r="F494" s="11"/>
    </row>
    <row r="495">
      <c r="A495" s="12"/>
      <c r="F495" s="11"/>
    </row>
    <row r="496">
      <c r="A496" s="12"/>
      <c r="F496" s="11"/>
    </row>
    <row r="497">
      <c r="A497" s="12"/>
      <c r="F497" s="11"/>
    </row>
    <row r="498">
      <c r="A498" s="12"/>
      <c r="F498" s="11"/>
    </row>
    <row r="499">
      <c r="A499" s="12"/>
      <c r="F499" s="11"/>
    </row>
    <row r="500">
      <c r="A500" s="12"/>
      <c r="F500" s="11"/>
    </row>
    <row r="501">
      <c r="A501" s="12"/>
      <c r="F501" s="11"/>
    </row>
    <row r="502">
      <c r="A502" s="12"/>
      <c r="F502" s="11"/>
    </row>
    <row r="503">
      <c r="A503" s="12"/>
      <c r="F503" s="11"/>
    </row>
    <row r="504">
      <c r="A504" s="12"/>
      <c r="F504" s="11"/>
    </row>
    <row r="505">
      <c r="A505" s="12"/>
      <c r="F505" s="11"/>
    </row>
    <row r="506">
      <c r="A506" s="12"/>
      <c r="F506" s="11"/>
    </row>
    <row r="507">
      <c r="A507" s="12"/>
      <c r="F507" s="11"/>
    </row>
    <row r="508">
      <c r="A508" s="12"/>
      <c r="F508" s="11"/>
    </row>
    <row r="509">
      <c r="A509" s="12"/>
      <c r="F509" s="11"/>
    </row>
    <row r="510">
      <c r="A510" s="12"/>
      <c r="F510" s="11"/>
    </row>
    <row r="511">
      <c r="A511" s="12"/>
      <c r="F511" s="11"/>
    </row>
    <row r="512">
      <c r="A512" s="12"/>
      <c r="F512" s="11"/>
    </row>
    <row r="513">
      <c r="A513" s="12"/>
      <c r="F513" s="11"/>
    </row>
    <row r="514">
      <c r="A514" s="12"/>
      <c r="F514" s="11"/>
    </row>
    <row r="515">
      <c r="A515" s="12"/>
      <c r="F515" s="11"/>
    </row>
    <row r="516">
      <c r="A516" s="12"/>
      <c r="F516" s="11"/>
    </row>
    <row r="517">
      <c r="A517" s="12"/>
      <c r="F517" s="11"/>
    </row>
    <row r="518">
      <c r="A518" s="12"/>
      <c r="F518" s="11"/>
    </row>
    <row r="519">
      <c r="A519" s="12"/>
      <c r="F519" s="11"/>
    </row>
    <row r="520">
      <c r="A520" s="12"/>
      <c r="F520" s="11"/>
    </row>
    <row r="521">
      <c r="A521" s="12"/>
      <c r="F521" s="11"/>
    </row>
    <row r="522">
      <c r="A522" s="12"/>
      <c r="F522" s="11"/>
    </row>
    <row r="523">
      <c r="A523" s="12"/>
      <c r="F523" s="11"/>
    </row>
    <row r="524">
      <c r="A524" s="12"/>
      <c r="F524" s="11"/>
    </row>
    <row r="525">
      <c r="A525" s="12"/>
      <c r="F525" s="11"/>
    </row>
    <row r="526">
      <c r="A526" s="12"/>
      <c r="F526" s="11"/>
    </row>
    <row r="527">
      <c r="A527" s="12"/>
      <c r="F527" s="11"/>
    </row>
    <row r="528">
      <c r="A528" s="12"/>
      <c r="F528" s="11"/>
    </row>
    <row r="529">
      <c r="A529" s="12"/>
      <c r="F529" s="11"/>
    </row>
    <row r="530">
      <c r="A530" s="12"/>
      <c r="F530" s="11"/>
    </row>
    <row r="531">
      <c r="A531" s="12"/>
      <c r="F531" s="11"/>
    </row>
    <row r="532">
      <c r="A532" s="12"/>
      <c r="F532" s="11"/>
    </row>
    <row r="533">
      <c r="A533" s="12"/>
      <c r="F533" s="11"/>
    </row>
    <row r="534">
      <c r="A534" s="12"/>
      <c r="F534" s="11"/>
    </row>
    <row r="535">
      <c r="A535" s="12"/>
      <c r="F535" s="11"/>
    </row>
    <row r="536">
      <c r="A536" s="12"/>
      <c r="F536" s="11"/>
    </row>
    <row r="537">
      <c r="A537" s="12"/>
      <c r="F537" s="11"/>
    </row>
    <row r="538">
      <c r="A538" s="12"/>
      <c r="F538" s="11"/>
    </row>
    <row r="539">
      <c r="A539" s="12"/>
      <c r="F539" s="11"/>
    </row>
    <row r="540">
      <c r="A540" s="12"/>
      <c r="F540" s="11"/>
    </row>
    <row r="541">
      <c r="A541" s="12"/>
      <c r="F541" s="11"/>
    </row>
    <row r="542">
      <c r="A542" s="12"/>
      <c r="F542" s="11"/>
    </row>
    <row r="543">
      <c r="A543" s="12"/>
      <c r="F543" s="11"/>
    </row>
    <row r="544">
      <c r="A544" s="12"/>
      <c r="F544" s="11"/>
    </row>
    <row r="545">
      <c r="A545" s="12"/>
      <c r="F545" s="11"/>
    </row>
    <row r="546">
      <c r="A546" s="12"/>
      <c r="F546" s="11"/>
    </row>
    <row r="547">
      <c r="A547" s="12"/>
      <c r="F547" s="11"/>
    </row>
    <row r="548">
      <c r="A548" s="12"/>
      <c r="F548" s="11"/>
    </row>
    <row r="549">
      <c r="A549" s="12"/>
      <c r="F549" s="11"/>
    </row>
    <row r="550">
      <c r="A550" s="12"/>
      <c r="F550" s="11"/>
    </row>
    <row r="551">
      <c r="A551" s="12"/>
      <c r="F551" s="11"/>
    </row>
    <row r="552">
      <c r="A552" s="12"/>
      <c r="F552" s="11"/>
    </row>
    <row r="553">
      <c r="A553" s="12"/>
      <c r="F553" s="11"/>
    </row>
    <row r="554">
      <c r="A554" s="12"/>
      <c r="F554" s="11"/>
    </row>
    <row r="555">
      <c r="A555" s="12"/>
      <c r="F555" s="11"/>
    </row>
    <row r="556">
      <c r="A556" s="12"/>
      <c r="F556" s="11"/>
    </row>
    <row r="557">
      <c r="A557" s="12"/>
      <c r="F557" s="11"/>
    </row>
    <row r="558">
      <c r="A558" s="12"/>
      <c r="F558" s="11"/>
    </row>
    <row r="559">
      <c r="A559" s="12"/>
      <c r="F559" s="11"/>
    </row>
    <row r="560">
      <c r="A560" s="12"/>
      <c r="F560" s="11"/>
    </row>
    <row r="561">
      <c r="A561" s="12"/>
      <c r="F561" s="11"/>
    </row>
    <row r="562">
      <c r="A562" s="12"/>
      <c r="F562" s="11"/>
    </row>
    <row r="563">
      <c r="A563" s="12"/>
      <c r="F563" s="11"/>
    </row>
    <row r="564">
      <c r="A564" s="12"/>
      <c r="F564" s="11"/>
    </row>
    <row r="565">
      <c r="A565" s="12"/>
      <c r="F565" s="11"/>
    </row>
    <row r="566">
      <c r="A566" s="12"/>
      <c r="F566" s="11"/>
    </row>
    <row r="567">
      <c r="A567" s="12"/>
      <c r="F567" s="11"/>
    </row>
    <row r="568">
      <c r="A568" s="12"/>
      <c r="F568" s="11"/>
    </row>
    <row r="569">
      <c r="A569" s="12"/>
      <c r="F569" s="11"/>
    </row>
    <row r="570">
      <c r="A570" s="12"/>
      <c r="F570" s="11"/>
    </row>
    <row r="571">
      <c r="A571" s="12"/>
      <c r="F571" s="11"/>
    </row>
    <row r="572">
      <c r="A572" s="12"/>
      <c r="F572" s="11"/>
    </row>
    <row r="573">
      <c r="A573" s="12"/>
      <c r="F573" s="11"/>
    </row>
    <row r="574">
      <c r="A574" s="12"/>
      <c r="F574" s="11"/>
    </row>
    <row r="575">
      <c r="A575" s="12"/>
      <c r="F575" s="11"/>
    </row>
    <row r="576">
      <c r="A576" s="12"/>
      <c r="F576" s="11"/>
    </row>
    <row r="577">
      <c r="A577" s="12"/>
      <c r="F577" s="11"/>
    </row>
    <row r="578">
      <c r="A578" s="12"/>
      <c r="F578" s="11"/>
    </row>
    <row r="579">
      <c r="A579" s="12"/>
      <c r="F579" s="11"/>
    </row>
    <row r="580">
      <c r="A580" s="12"/>
      <c r="F580" s="11"/>
    </row>
    <row r="581">
      <c r="A581" s="12"/>
      <c r="F581" s="11"/>
    </row>
    <row r="582">
      <c r="A582" s="12"/>
      <c r="F582" s="11"/>
    </row>
    <row r="583">
      <c r="A583" s="12"/>
      <c r="F583" s="11"/>
    </row>
    <row r="584">
      <c r="A584" s="12"/>
      <c r="F584" s="11"/>
    </row>
    <row r="585">
      <c r="A585" s="12"/>
      <c r="F585" s="11"/>
    </row>
    <row r="586">
      <c r="A586" s="12"/>
      <c r="F586" s="11"/>
    </row>
    <row r="587">
      <c r="A587" s="12"/>
      <c r="F587" s="11"/>
    </row>
    <row r="588">
      <c r="A588" s="12"/>
      <c r="F588" s="11"/>
    </row>
    <row r="589">
      <c r="A589" s="12"/>
      <c r="F589" s="11"/>
    </row>
    <row r="590">
      <c r="A590" s="12"/>
      <c r="F590" s="11"/>
    </row>
    <row r="591">
      <c r="A591" s="12"/>
      <c r="F591" s="11"/>
    </row>
    <row r="592">
      <c r="A592" s="12"/>
      <c r="F592" s="11"/>
    </row>
    <row r="593">
      <c r="A593" s="12"/>
      <c r="F593" s="11"/>
    </row>
    <row r="594">
      <c r="A594" s="12"/>
      <c r="F594" s="11"/>
    </row>
    <row r="595">
      <c r="A595" s="12"/>
      <c r="F595" s="11"/>
    </row>
    <row r="596">
      <c r="A596" s="12"/>
      <c r="F596" s="11"/>
    </row>
    <row r="597">
      <c r="A597" s="12"/>
      <c r="F597" s="11"/>
    </row>
    <row r="598">
      <c r="A598" s="12"/>
      <c r="F598" s="11"/>
    </row>
    <row r="599">
      <c r="A599" s="12"/>
      <c r="F599" s="11"/>
    </row>
    <row r="600">
      <c r="A600" s="12"/>
      <c r="F600" s="11"/>
    </row>
    <row r="601">
      <c r="A601" s="12"/>
      <c r="F601" s="11"/>
    </row>
    <row r="602">
      <c r="A602" s="12"/>
      <c r="F602" s="11"/>
    </row>
    <row r="603">
      <c r="A603" s="12"/>
      <c r="F603" s="11"/>
    </row>
    <row r="604">
      <c r="A604" s="12"/>
      <c r="F604" s="11"/>
    </row>
    <row r="605">
      <c r="A605" s="12"/>
      <c r="F605" s="11"/>
    </row>
    <row r="606">
      <c r="A606" s="12"/>
      <c r="F606" s="11"/>
    </row>
    <row r="607">
      <c r="A607" s="12"/>
      <c r="F607" s="11"/>
    </row>
    <row r="608">
      <c r="A608" s="12"/>
      <c r="F608" s="11"/>
    </row>
    <row r="609">
      <c r="A609" s="12"/>
      <c r="F609" s="11"/>
    </row>
    <row r="610">
      <c r="A610" s="12"/>
      <c r="F610" s="11"/>
    </row>
    <row r="611">
      <c r="A611" s="12"/>
      <c r="F611" s="11"/>
    </row>
    <row r="612">
      <c r="A612" s="12"/>
      <c r="F612" s="11"/>
    </row>
    <row r="613">
      <c r="A613" s="12"/>
      <c r="F613" s="11"/>
    </row>
    <row r="614">
      <c r="A614" s="12"/>
      <c r="F614" s="11"/>
    </row>
    <row r="615">
      <c r="A615" s="12"/>
      <c r="F615" s="11"/>
    </row>
    <row r="616">
      <c r="A616" s="12"/>
      <c r="F616" s="11"/>
    </row>
    <row r="617">
      <c r="A617" s="12"/>
      <c r="F617" s="11"/>
    </row>
    <row r="618">
      <c r="A618" s="12"/>
      <c r="F618" s="11"/>
    </row>
    <row r="619">
      <c r="A619" s="12"/>
      <c r="F619" s="11"/>
    </row>
    <row r="620">
      <c r="A620" s="12"/>
      <c r="F620" s="11"/>
    </row>
    <row r="621">
      <c r="A621" s="12"/>
      <c r="F621" s="11"/>
    </row>
    <row r="622">
      <c r="A622" s="12"/>
      <c r="F622" s="11"/>
    </row>
    <row r="623">
      <c r="A623" s="12"/>
      <c r="F623" s="11"/>
    </row>
    <row r="624">
      <c r="A624" s="12"/>
      <c r="F624" s="11"/>
    </row>
    <row r="625">
      <c r="A625" s="12"/>
      <c r="F625" s="11"/>
    </row>
    <row r="626">
      <c r="A626" s="12"/>
      <c r="F626" s="11"/>
    </row>
    <row r="627">
      <c r="A627" s="12"/>
      <c r="F627" s="11"/>
    </row>
    <row r="628">
      <c r="A628" s="12"/>
      <c r="F628" s="11"/>
    </row>
    <row r="629">
      <c r="A629" s="12"/>
      <c r="F629" s="11"/>
    </row>
    <row r="630">
      <c r="A630" s="12"/>
      <c r="F630" s="11"/>
    </row>
    <row r="631">
      <c r="A631" s="12"/>
      <c r="F631" s="11"/>
    </row>
    <row r="632">
      <c r="A632" s="12"/>
      <c r="F632" s="11"/>
    </row>
    <row r="633">
      <c r="A633" s="12"/>
      <c r="F633" s="11"/>
    </row>
    <row r="634">
      <c r="A634" s="12"/>
      <c r="F634" s="11"/>
    </row>
    <row r="635">
      <c r="A635" s="12"/>
      <c r="F635" s="11"/>
    </row>
    <row r="636">
      <c r="A636" s="12"/>
      <c r="F636" s="11"/>
    </row>
    <row r="637">
      <c r="A637" s="12"/>
      <c r="F637" s="11"/>
    </row>
    <row r="638">
      <c r="A638" s="12"/>
      <c r="F638" s="11"/>
    </row>
    <row r="639">
      <c r="A639" s="12"/>
      <c r="F639" s="11"/>
    </row>
    <row r="640">
      <c r="A640" s="12"/>
      <c r="F640" s="11"/>
    </row>
    <row r="641">
      <c r="A641" s="12"/>
      <c r="F641" s="11"/>
    </row>
    <row r="642">
      <c r="A642" s="12"/>
      <c r="F642" s="11"/>
    </row>
    <row r="643">
      <c r="A643" s="12"/>
      <c r="F643" s="11"/>
    </row>
    <row r="644">
      <c r="A644" s="12"/>
      <c r="F644" s="11"/>
    </row>
    <row r="645">
      <c r="A645" s="12"/>
      <c r="F645" s="11"/>
    </row>
    <row r="646">
      <c r="A646" s="12"/>
      <c r="F646" s="11"/>
    </row>
    <row r="647">
      <c r="A647" s="12"/>
      <c r="F647" s="11"/>
    </row>
    <row r="648">
      <c r="A648" s="12"/>
      <c r="F648" s="11"/>
    </row>
    <row r="649">
      <c r="A649" s="12"/>
      <c r="F649" s="11"/>
    </row>
    <row r="650">
      <c r="A650" s="12"/>
      <c r="F650" s="11"/>
    </row>
    <row r="651">
      <c r="A651" s="12"/>
      <c r="F651" s="11"/>
    </row>
    <row r="652">
      <c r="A652" s="12"/>
      <c r="F652" s="11"/>
    </row>
    <row r="653">
      <c r="A653" s="12"/>
      <c r="F653" s="11"/>
    </row>
    <row r="654">
      <c r="A654" s="12"/>
      <c r="F654" s="11"/>
    </row>
    <row r="655">
      <c r="A655" s="12"/>
      <c r="F655" s="11"/>
    </row>
    <row r="656">
      <c r="A656" s="12"/>
      <c r="F656" s="11"/>
    </row>
    <row r="657">
      <c r="A657" s="12"/>
      <c r="F657" s="11"/>
    </row>
    <row r="658">
      <c r="A658" s="12"/>
      <c r="F658" s="11"/>
    </row>
    <row r="659">
      <c r="A659" s="12"/>
      <c r="F659" s="11"/>
    </row>
    <row r="660">
      <c r="A660" s="12"/>
      <c r="F660" s="11"/>
    </row>
    <row r="661">
      <c r="A661" s="12"/>
      <c r="F661" s="11"/>
    </row>
    <row r="662">
      <c r="A662" s="12"/>
      <c r="F662" s="11"/>
    </row>
    <row r="663">
      <c r="A663" s="12"/>
      <c r="F663" s="11"/>
    </row>
    <row r="664">
      <c r="A664" s="12"/>
      <c r="F664" s="11"/>
    </row>
    <row r="665">
      <c r="A665" s="12"/>
      <c r="F665" s="11"/>
    </row>
    <row r="666">
      <c r="A666" s="12"/>
      <c r="F666" s="11"/>
    </row>
    <row r="667">
      <c r="A667" s="12"/>
      <c r="F667" s="11"/>
    </row>
    <row r="668">
      <c r="A668" s="12"/>
      <c r="F668" s="11"/>
    </row>
    <row r="669">
      <c r="A669" s="12"/>
      <c r="F669" s="11"/>
    </row>
    <row r="670">
      <c r="A670" s="12"/>
      <c r="F670" s="11"/>
    </row>
    <row r="671">
      <c r="A671" s="12"/>
      <c r="F671" s="11"/>
    </row>
    <row r="672">
      <c r="A672" s="12"/>
      <c r="F672" s="11"/>
    </row>
    <row r="673">
      <c r="A673" s="12"/>
      <c r="F673" s="11"/>
    </row>
    <row r="674">
      <c r="A674" s="12"/>
      <c r="F674" s="11"/>
    </row>
    <row r="675">
      <c r="A675" s="12"/>
      <c r="F675" s="11"/>
    </row>
    <row r="676">
      <c r="A676" s="12"/>
      <c r="F676" s="11"/>
    </row>
    <row r="677">
      <c r="A677" s="12"/>
      <c r="F677" s="11"/>
    </row>
    <row r="678">
      <c r="A678" s="12"/>
      <c r="F678" s="11"/>
    </row>
    <row r="679">
      <c r="A679" s="12"/>
      <c r="F679" s="11"/>
    </row>
    <row r="680">
      <c r="A680" s="12"/>
      <c r="F680" s="11"/>
    </row>
    <row r="681">
      <c r="A681" s="12"/>
      <c r="F681" s="11"/>
    </row>
    <row r="682">
      <c r="A682" s="12"/>
      <c r="F682" s="11"/>
    </row>
    <row r="683">
      <c r="A683" s="12"/>
      <c r="F683" s="11"/>
    </row>
    <row r="684">
      <c r="A684" s="12"/>
      <c r="F684" s="11"/>
    </row>
    <row r="685">
      <c r="A685" s="12"/>
      <c r="F685" s="11"/>
    </row>
    <row r="686">
      <c r="A686" s="12"/>
      <c r="F686" s="11"/>
    </row>
    <row r="687">
      <c r="A687" s="12"/>
      <c r="F687" s="11"/>
    </row>
    <row r="688">
      <c r="A688" s="12"/>
      <c r="F688" s="11"/>
    </row>
    <row r="689">
      <c r="A689" s="12"/>
      <c r="F689" s="11"/>
    </row>
    <row r="690">
      <c r="A690" s="12"/>
      <c r="F690" s="11"/>
    </row>
    <row r="691">
      <c r="A691" s="12"/>
      <c r="F691" s="11"/>
    </row>
    <row r="692">
      <c r="A692" s="12"/>
      <c r="F692" s="11"/>
    </row>
    <row r="693">
      <c r="A693" s="12"/>
      <c r="F693" s="11"/>
    </row>
    <row r="694">
      <c r="A694" s="12"/>
      <c r="F694" s="11"/>
    </row>
    <row r="695">
      <c r="A695" s="12"/>
      <c r="F695" s="11"/>
    </row>
    <row r="696">
      <c r="A696" s="12"/>
      <c r="F696" s="11"/>
    </row>
    <row r="697">
      <c r="A697" s="12"/>
      <c r="F697" s="11"/>
    </row>
    <row r="698">
      <c r="A698" s="12"/>
      <c r="F698" s="11"/>
    </row>
    <row r="699">
      <c r="A699" s="12"/>
      <c r="F699" s="11"/>
    </row>
    <row r="700">
      <c r="A700" s="12"/>
      <c r="F700" s="11"/>
    </row>
    <row r="701">
      <c r="A701" s="12"/>
      <c r="F701" s="11"/>
    </row>
    <row r="702">
      <c r="A702" s="12"/>
      <c r="F702" s="11"/>
    </row>
    <row r="703">
      <c r="A703" s="12"/>
      <c r="F703" s="11"/>
    </row>
    <row r="704">
      <c r="A704" s="12"/>
      <c r="F704" s="11"/>
    </row>
    <row r="705">
      <c r="A705" s="12"/>
      <c r="F705" s="11"/>
    </row>
    <row r="706">
      <c r="A706" s="12"/>
      <c r="F706" s="11"/>
    </row>
    <row r="707">
      <c r="A707" s="12"/>
      <c r="F707" s="11"/>
    </row>
    <row r="708">
      <c r="A708" s="12"/>
      <c r="F708" s="11"/>
    </row>
    <row r="709">
      <c r="A709" s="12"/>
      <c r="F709" s="11"/>
    </row>
    <row r="710">
      <c r="A710" s="12"/>
      <c r="F710" s="11"/>
    </row>
    <row r="711">
      <c r="A711" s="12"/>
      <c r="F711" s="11"/>
    </row>
    <row r="712">
      <c r="A712" s="12"/>
      <c r="F712" s="11"/>
    </row>
    <row r="713">
      <c r="A713" s="12"/>
      <c r="F713" s="11"/>
    </row>
    <row r="714">
      <c r="A714" s="12"/>
      <c r="F714" s="11"/>
    </row>
    <row r="715">
      <c r="A715" s="12"/>
      <c r="F715" s="11"/>
    </row>
    <row r="716">
      <c r="A716" s="12"/>
      <c r="F716" s="11"/>
    </row>
    <row r="717">
      <c r="A717" s="12"/>
      <c r="F717" s="11"/>
    </row>
    <row r="718">
      <c r="A718" s="12"/>
      <c r="F718" s="11"/>
    </row>
    <row r="719">
      <c r="A719" s="12"/>
      <c r="F719" s="11"/>
    </row>
    <row r="720">
      <c r="A720" s="12"/>
      <c r="F720" s="11"/>
    </row>
    <row r="721">
      <c r="A721" s="12"/>
      <c r="F721" s="11"/>
    </row>
    <row r="722">
      <c r="A722" s="12"/>
      <c r="F722" s="11"/>
    </row>
    <row r="723">
      <c r="A723" s="12"/>
      <c r="F723" s="11"/>
    </row>
    <row r="724">
      <c r="A724" s="12"/>
      <c r="F724" s="11"/>
    </row>
    <row r="725">
      <c r="A725" s="12"/>
      <c r="F725" s="11"/>
    </row>
    <row r="726">
      <c r="A726" s="12"/>
      <c r="F726" s="11"/>
    </row>
    <row r="727">
      <c r="A727" s="12"/>
      <c r="F727" s="11"/>
    </row>
    <row r="728">
      <c r="A728" s="12"/>
      <c r="F728" s="11"/>
    </row>
    <row r="729">
      <c r="A729" s="12"/>
      <c r="F729" s="11"/>
    </row>
    <row r="730">
      <c r="A730" s="12"/>
      <c r="F730" s="11"/>
    </row>
    <row r="731">
      <c r="A731" s="12"/>
      <c r="F731" s="11"/>
    </row>
    <row r="732">
      <c r="A732" s="12"/>
      <c r="F732" s="11"/>
    </row>
    <row r="733">
      <c r="A733" s="12"/>
      <c r="F733" s="11"/>
    </row>
    <row r="734">
      <c r="A734" s="12"/>
      <c r="F734" s="11"/>
    </row>
    <row r="735">
      <c r="A735" s="12"/>
      <c r="F735" s="11"/>
    </row>
    <row r="736">
      <c r="A736" s="12"/>
      <c r="F736" s="11"/>
    </row>
    <row r="737">
      <c r="A737" s="12"/>
      <c r="F737" s="11"/>
    </row>
    <row r="738">
      <c r="A738" s="12"/>
      <c r="F738" s="11"/>
    </row>
    <row r="739">
      <c r="A739" s="12"/>
      <c r="F739" s="11"/>
    </row>
    <row r="740">
      <c r="A740" s="12"/>
      <c r="F740" s="11"/>
    </row>
    <row r="741">
      <c r="A741" s="12"/>
      <c r="F741" s="11"/>
    </row>
    <row r="742">
      <c r="A742" s="12"/>
      <c r="F742" s="11"/>
    </row>
    <row r="743">
      <c r="A743" s="12"/>
      <c r="F743" s="11"/>
    </row>
    <row r="744">
      <c r="A744" s="12"/>
      <c r="F744" s="11"/>
    </row>
    <row r="745">
      <c r="A745" s="12"/>
      <c r="F745" s="11"/>
    </row>
    <row r="746">
      <c r="A746" s="12"/>
      <c r="F746" s="11"/>
    </row>
    <row r="747">
      <c r="A747" s="12"/>
      <c r="F747" s="11"/>
    </row>
    <row r="748">
      <c r="A748" s="12"/>
      <c r="F748" s="11"/>
    </row>
    <row r="749">
      <c r="A749" s="12"/>
      <c r="F749" s="11"/>
    </row>
    <row r="750">
      <c r="A750" s="12"/>
      <c r="F750" s="11"/>
    </row>
    <row r="751">
      <c r="A751" s="12"/>
      <c r="F751" s="11"/>
    </row>
    <row r="752">
      <c r="A752" s="12"/>
      <c r="F752" s="11"/>
    </row>
    <row r="753">
      <c r="A753" s="12"/>
      <c r="F753" s="11"/>
    </row>
    <row r="754">
      <c r="A754" s="12"/>
      <c r="F754" s="11"/>
    </row>
    <row r="755">
      <c r="A755" s="12"/>
      <c r="F755" s="11"/>
    </row>
    <row r="756">
      <c r="A756" s="12"/>
      <c r="F756" s="11"/>
    </row>
    <row r="757">
      <c r="A757" s="12"/>
      <c r="F757" s="11"/>
    </row>
    <row r="758">
      <c r="A758" s="12"/>
      <c r="F758" s="11"/>
    </row>
    <row r="759">
      <c r="A759" s="12"/>
      <c r="F759" s="11"/>
    </row>
    <row r="760">
      <c r="A760" s="12"/>
      <c r="F760" s="11"/>
    </row>
    <row r="761">
      <c r="A761" s="12"/>
      <c r="F761" s="11"/>
    </row>
    <row r="762">
      <c r="A762" s="12"/>
      <c r="F762" s="11"/>
    </row>
    <row r="763">
      <c r="A763" s="12"/>
      <c r="F763" s="11"/>
    </row>
    <row r="764">
      <c r="A764" s="12"/>
      <c r="F764" s="11"/>
    </row>
    <row r="765">
      <c r="A765" s="12"/>
      <c r="F765" s="11"/>
    </row>
    <row r="766">
      <c r="A766" s="12"/>
      <c r="F766" s="11"/>
    </row>
    <row r="767">
      <c r="A767" s="12"/>
      <c r="F767" s="11"/>
    </row>
    <row r="768">
      <c r="A768" s="12"/>
      <c r="F768" s="11"/>
    </row>
    <row r="769">
      <c r="A769" s="12"/>
      <c r="F769" s="11"/>
    </row>
    <row r="770">
      <c r="A770" s="12"/>
      <c r="F770" s="11"/>
    </row>
    <row r="771">
      <c r="A771" s="12"/>
      <c r="F771" s="11"/>
    </row>
    <row r="772">
      <c r="A772" s="12"/>
      <c r="F772" s="11"/>
    </row>
    <row r="773">
      <c r="A773" s="12"/>
      <c r="F773" s="11"/>
    </row>
    <row r="774">
      <c r="A774" s="12"/>
      <c r="F774" s="11"/>
    </row>
    <row r="775">
      <c r="A775" s="12"/>
      <c r="F775" s="11"/>
    </row>
    <row r="776">
      <c r="A776" s="12"/>
      <c r="F776" s="11"/>
    </row>
    <row r="777">
      <c r="A777" s="12"/>
      <c r="F777" s="11"/>
    </row>
    <row r="778">
      <c r="A778" s="12"/>
      <c r="F778" s="11"/>
    </row>
    <row r="779">
      <c r="A779" s="12"/>
      <c r="F779" s="11"/>
    </row>
    <row r="780">
      <c r="A780" s="12"/>
      <c r="F780" s="11"/>
    </row>
    <row r="781">
      <c r="A781" s="12"/>
      <c r="F781" s="11"/>
    </row>
    <row r="782">
      <c r="A782" s="12"/>
      <c r="F782" s="11"/>
    </row>
    <row r="783">
      <c r="A783" s="12"/>
      <c r="F783" s="11"/>
    </row>
    <row r="784">
      <c r="A784" s="12"/>
      <c r="F784" s="11"/>
    </row>
    <row r="785">
      <c r="A785" s="12"/>
      <c r="F785" s="11"/>
    </row>
    <row r="786">
      <c r="A786" s="12"/>
      <c r="F786" s="11"/>
    </row>
    <row r="787">
      <c r="A787" s="12"/>
      <c r="F787" s="11"/>
    </row>
    <row r="788">
      <c r="A788" s="12"/>
      <c r="F788" s="11"/>
    </row>
    <row r="789">
      <c r="A789" s="12"/>
      <c r="F789" s="11"/>
    </row>
    <row r="790">
      <c r="A790" s="12"/>
      <c r="F790" s="11"/>
    </row>
    <row r="791">
      <c r="A791" s="12"/>
      <c r="F791" s="11"/>
    </row>
    <row r="792">
      <c r="A792" s="12"/>
      <c r="F792" s="11"/>
    </row>
    <row r="793">
      <c r="A793" s="12"/>
      <c r="F793" s="11"/>
    </row>
    <row r="794">
      <c r="A794" s="12"/>
      <c r="F794" s="11"/>
    </row>
    <row r="795">
      <c r="A795" s="12"/>
      <c r="F795" s="11"/>
    </row>
    <row r="796">
      <c r="A796" s="12"/>
      <c r="F796" s="11"/>
    </row>
    <row r="797">
      <c r="A797" s="12"/>
      <c r="F797" s="11"/>
    </row>
    <row r="798">
      <c r="A798" s="12"/>
      <c r="F798" s="11"/>
    </row>
    <row r="799">
      <c r="A799" s="12"/>
      <c r="F799" s="11"/>
    </row>
    <row r="800">
      <c r="A800" s="12"/>
      <c r="F800" s="11"/>
    </row>
    <row r="801">
      <c r="A801" s="12"/>
      <c r="F801" s="11"/>
    </row>
    <row r="802">
      <c r="A802" s="12"/>
      <c r="F802" s="11"/>
    </row>
    <row r="803">
      <c r="A803" s="12"/>
      <c r="F803" s="11"/>
    </row>
    <row r="804">
      <c r="A804" s="12"/>
      <c r="F804" s="11"/>
    </row>
    <row r="805">
      <c r="A805" s="12"/>
      <c r="F805" s="11"/>
    </row>
    <row r="806">
      <c r="A806" s="12"/>
      <c r="F806" s="11"/>
    </row>
    <row r="807">
      <c r="A807" s="12"/>
      <c r="F807" s="11"/>
    </row>
    <row r="808">
      <c r="A808" s="12"/>
      <c r="F808" s="11"/>
    </row>
    <row r="809">
      <c r="A809" s="12"/>
      <c r="F809" s="11"/>
    </row>
    <row r="810">
      <c r="A810" s="12"/>
      <c r="F810" s="11"/>
    </row>
    <row r="811">
      <c r="A811" s="12"/>
      <c r="F811" s="11"/>
    </row>
    <row r="812">
      <c r="A812" s="12"/>
      <c r="F812" s="11"/>
    </row>
    <row r="813">
      <c r="A813" s="12"/>
      <c r="F813" s="11"/>
    </row>
    <row r="814">
      <c r="A814" s="12"/>
      <c r="F814" s="11"/>
    </row>
    <row r="815">
      <c r="A815" s="12"/>
      <c r="F815" s="11"/>
    </row>
    <row r="816">
      <c r="A816" s="12"/>
      <c r="F816" s="11"/>
    </row>
    <row r="817">
      <c r="A817" s="12"/>
      <c r="F817" s="11"/>
    </row>
    <row r="818">
      <c r="A818" s="12"/>
      <c r="F818" s="11"/>
    </row>
    <row r="819">
      <c r="A819" s="12"/>
      <c r="F819" s="11"/>
    </row>
    <row r="820">
      <c r="A820" s="12"/>
      <c r="F820" s="11"/>
    </row>
    <row r="821">
      <c r="A821" s="12"/>
      <c r="F821" s="11"/>
    </row>
    <row r="822">
      <c r="A822" s="12"/>
      <c r="F822" s="11"/>
    </row>
    <row r="823">
      <c r="A823" s="12"/>
      <c r="F823" s="11"/>
    </row>
    <row r="824">
      <c r="A824" s="12"/>
      <c r="F824" s="11"/>
    </row>
    <row r="825">
      <c r="A825" s="12"/>
      <c r="F825" s="11"/>
    </row>
    <row r="826">
      <c r="A826" s="12"/>
      <c r="F826" s="11"/>
    </row>
    <row r="827">
      <c r="A827" s="12"/>
      <c r="F827" s="11"/>
    </row>
    <row r="828">
      <c r="A828" s="12"/>
      <c r="F828" s="11"/>
    </row>
    <row r="829">
      <c r="A829" s="12"/>
      <c r="F829" s="11"/>
    </row>
    <row r="830">
      <c r="A830" s="12"/>
      <c r="F830" s="11"/>
    </row>
    <row r="831">
      <c r="A831" s="12"/>
      <c r="F831" s="11"/>
    </row>
    <row r="832">
      <c r="A832" s="12"/>
      <c r="F832" s="11"/>
    </row>
    <row r="833">
      <c r="A833" s="12"/>
      <c r="F833" s="11"/>
    </row>
    <row r="834">
      <c r="A834" s="12"/>
      <c r="F834" s="11"/>
    </row>
    <row r="835">
      <c r="A835" s="12"/>
      <c r="F835" s="11"/>
    </row>
    <row r="836">
      <c r="A836" s="12"/>
      <c r="F836" s="11"/>
    </row>
    <row r="837">
      <c r="A837" s="12"/>
      <c r="F837" s="11"/>
    </row>
    <row r="838">
      <c r="A838" s="12"/>
      <c r="F838" s="11"/>
    </row>
    <row r="839">
      <c r="A839" s="12"/>
      <c r="F839" s="11"/>
    </row>
    <row r="840">
      <c r="A840" s="12"/>
      <c r="F840" s="11"/>
    </row>
    <row r="841">
      <c r="A841" s="12"/>
      <c r="F841" s="11"/>
    </row>
    <row r="842">
      <c r="A842" s="12"/>
      <c r="F842" s="11"/>
    </row>
    <row r="843">
      <c r="A843" s="12"/>
      <c r="F843" s="11"/>
    </row>
    <row r="844">
      <c r="A844" s="12"/>
      <c r="F844" s="11"/>
    </row>
    <row r="845">
      <c r="A845" s="12"/>
      <c r="F845" s="11"/>
    </row>
    <row r="846">
      <c r="A846" s="12"/>
      <c r="F846" s="11"/>
    </row>
    <row r="847">
      <c r="A847" s="12"/>
      <c r="F847" s="11"/>
    </row>
    <row r="848">
      <c r="A848" s="12"/>
      <c r="F848" s="11"/>
    </row>
    <row r="849">
      <c r="A849" s="12"/>
      <c r="F849" s="11"/>
    </row>
    <row r="850">
      <c r="A850" s="12"/>
      <c r="F850" s="11"/>
    </row>
    <row r="851">
      <c r="A851" s="12"/>
      <c r="F851" s="11"/>
    </row>
    <row r="852">
      <c r="A852" s="12"/>
      <c r="F852" s="11"/>
    </row>
    <row r="853">
      <c r="A853" s="12"/>
      <c r="F853" s="11"/>
    </row>
    <row r="854">
      <c r="A854" s="12"/>
      <c r="F854" s="11"/>
    </row>
    <row r="855">
      <c r="A855" s="12"/>
      <c r="F855" s="11"/>
    </row>
    <row r="856">
      <c r="A856" s="12"/>
      <c r="F856" s="11"/>
    </row>
    <row r="857">
      <c r="A857" s="12"/>
      <c r="F857" s="11"/>
    </row>
    <row r="858">
      <c r="A858" s="12"/>
      <c r="F858" s="11"/>
    </row>
    <row r="859">
      <c r="A859" s="12"/>
      <c r="F859" s="11"/>
    </row>
    <row r="860">
      <c r="A860" s="12"/>
      <c r="F860" s="11"/>
    </row>
    <row r="861">
      <c r="A861" s="12"/>
      <c r="F861" s="11"/>
    </row>
    <row r="862">
      <c r="A862" s="12"/>
      <c r="F862" s="11"/>
    </row>
    <row r="863">
      <c r="A863" s="12"/>
      <c r="F863" s="11"/>
    </row>
    <row r="864">
      <c r="A864" s="12"/>
      <c r="F864" s="11"/>
    </row>
    <row r="865">
      <c r="A865" s="12"/>
      <c r="F865" s="11"/>
    </row>
    <row r="866">
      <c r="A866" s="12"/>
      <c r="F866" s="11"/>
    </row>
    <row r="867">
      <c r="A867" s="12"/>
      <c r="F867" s="11"/>
    </row>
    <row r="868">
      <c r="A868" s="12"/>
      <c r="F868" s="11"/>
    </row>
    <row r="869">
      <c r="A869" s="12"/>
      <c r="F869" s="11"/>
    </row>
    <row r="870">
      <c r="A870" s="12"/>
      <c r="F870" s="11"/>
    </row>
    <row r="871">
      <c r="A871" s="12"/>
      <c r="F871" s="11"/>
    </row>
    <row r="872">
      <c r="A872" s="12"/>
      <c r="F872" s="11"/>
    </row>
    <row r="873">
      <c r="A873" s="12"/>
      <c r="F873" s="11"/>
    </row>
    <row r="874">
      <c r="A874" s="12"/>
      <c r="F874" s="11"/>
    </row>
    <row r="875">
      <c r="A875" s="12"/>
      <c r="F875" s="11"/>
    </row>
    <row r="876">
      <c r="A876" s="12"/>
      <c r="F876" s="11"/>
    </row>
    <row r="877">
      <c r="A877" s="12"/>
      <c r="F877" s="11"/>
    </row>
    <row r="878">
      <c r="A878" s="12"/>
      <c r="F878" s="11"/>
    </row>
    <row r="879">
      <c r="A879" s="12"/>
      <c r="F879" s="11"/>
    </row>
    <row r="880">
      <c r="A880" s="12"/>
      <c r="F880" s="11"/>
    </row>
    <row r="881">
      <c r="A881" s="12"/>
      <c r="F881" s="11"/>
    </row>
    <row r="882">
      <c r="A882" s="12"/>
      <c r="F882" s="11"/>
    </row>
    <row r="883">
      <c r="A883" s="12"/>
      <c r="F883" s="11"/>
    </row>
    <row r="884">
      <c r="A884" s="12"/>
      <c r="F884" s="11"/>
    </row>
    <row r="885">
      <c r="A885" s="12"/>
      <c r="F885" s="11"/>
    </row>
    <row r="886">
      <c r="A886" s="12"/>
      <c r="F886" s="11"/>
    </row>
    <row r="887">
      <c r="A887" s="12"/>
      <c r="F887" s="11"/>
    </row>
    <row r="888">
      <c r="A888" s="12"/>
      <c r="F888" s="11"/>
    </row>
    <row r="889">
      <c r="A889" s="12"/>
      <c r="F889" s="11"/>
    </row>
    <row r="890">
      <c r="A890" s="12"/>
      <c r="F890" s="11"/>
    </row>
    <row r="891">
      <c r="A891" s="12"/>
      <c r="F891" s="11"/>
    </row>
    <row r="892">
      <c r="A892" s="12"/>
      <c r="F892" s="11"/>
    </row>
    <row r="893">
      <c r="A893" s="12"/>
      <c r="F893" s="11"/>
    </row>
    <row r="894">
      <c r="A894" s="12"/>
      <c r="F894" s="11"/>
    </row>
    <row r="895">
      <c r="A895" s="12"/>
      <c r="F895" s="11"/>
    </row>
    <row r="896">
      <c r="A896" s="12"/>
      <c r="F896" s="11"/>
    </row>
    <row r="897">
      <c r="A897" s="12"/>
      <c r="F897" s="11"/>
    </row>
    <row r="898">
      <c r="A898" s="12"/>
      <c r="F898" s="11"/>
    </row>
    <row r="899">
      <c r="A899" s="12"/>
      <c r="F899" s="11"/>
    </row>
    <row r="900">
      <c r="A900" s="12"/>
      <c r="F900" s="11"/>
    </row>
    <row r="901">
      <c r="A901" s="12"/>
      <c r="F901" s="11"/>
    </row>
    <row r="902">
      <c r="A902" s="12"/>
      <c r="F902" s="11"/>
    </row>
    <row r="903">
      <c r="A903" s="12"/>
      <c r="F903" s="11"/>
    </row>
    <row r="904">
      <c r="A904" s="12"/>
      <c r="F904" s="11"/>
    </row>
    <row r="905">
      <c r="A905" s="12"/>
      <c r="F905" s="11"/>
    </row>
    <row r="906">
      <c r="A906" s="12"/>
      <c r="F906" s="11"/>
    </row>
    <row r="907">
      <c r="A907" s="12"/>
      <c r="F907" s="11"/>
    </row>
    <row r="908">
      <c r="A908" s="12"/>
      <c r="F908" s="11"/>
    </row>
    <row r="909">
      <c r="A909" s="12"/>
      <c r="F909" s="11"/>
    </row>
    <row r="910">
      <c r="A910" s="12"/>
      <c r="F910" s="11"/>
    </row>
    <row r="911">
      <c r="A911" s="12"/>
      <c r="F911" s="11"/>
    </row>
    <row r="912">
      <c r="A912" s="12"/>
      <c r="F912" s="11"/>
    </row>
    <row r="913">
      <c r="A913" s="12"/>
      <c r="F913" s="11"/>
    </row>
    <row r="914">
      <c r="A914" s="12"/>
      <c r="F914" s="11"/>
    </row>
    <row r="915">
      <c r="A915" s="12"/>
      <c r="F915" s="11"/>
    </row>
    <row r="916">
      <c r="A916" s="12"/>
      <c r="F916" s="11"/>
    </row>
    <row r="917">
      <c r="A917" s="12"/>
      <c r="F917" s="11"/>
    </row>
    <row r="918">
      <c r="A918" s="12"/>
      <c r="F918" s="11"/>
    </row>
    <row r="919">
      <c r="A919" s="12"/>
      <c r="F919" s="11"/>
    </row>
    <row r="920">
      <c r="A920" s="12"/>
      <c r="F920" s="11"/>
    </row>
    <row r="921">
      <c r="A921" s="12"/>
      <c r="F921" s="11"/>
    </row>
    <row r="922">
      <c r="A922" s="12"/>
      <c r="F922" s="11"/>
    </row>
    <row r="923">
      <c r="A923" s="12"/>
      <c r="F923" s="11"/>
    </row>
    <row r="924">
      <c r="A924" s="12"/>
      <c r="F924" s="11"/>
    </row>
    <row r="925">
      <c r="A925" s="12"/>
      <c r="F925" s="11"/>
    </row>
    <row r="926">
      <c r="A926" s="12"/>
      <c r="F926" s="11"/>
    </row>
    <row r="927">
      <c r="A927" s="12"/>
      <c r="F927" s="11"/>
    </row>
    <row r="928">
      <c r="A928" s="12"/>
      <c r="F928" s="11"/>
    </row>
    <row r="929">
      <c r="A929" s="12"/>
      <c r="F929" s="11"/>
    </row>
    <row r="930">
      <c r="A930" s="12"/>
      <c r="F930" s="11"/>
    </row>
    <row r="931">
      <c r="A931" s="12"/>
      <c r="F931" s="11"/>
    </row>
    <row r="932">
      <c r="A932" s="12"/>
      <c r="F932" s="11"/>
    </row>
    <row r="933">
      <c r="A933" s="12"/>
      <c r="F933" s="11"/>
    </row>
    <row r="934">
      <c r="A934" s="12"/>
      <c r="F934" s="11"/>
    </row>
    <row r="935">
      <c r="A935" s="12"/>
      <c r="F935" s="11"/>
    </row>
    <row r="936">
      <c r="A936" s="12"/>
      <c r="F936" s="11"/>
    </row>
    <row r="937">
      <c r="A937" s="12"/>
      <c r="F937" s="11"/>
    </row>
    <row r="938">
      <c r="A938" s="12"/>
      <c r="F938" s="11"/>
    </row>
    <row r="939">
      <c r="A939" s="12"/>
      <c r="F939" s="11"/>
    </row>
    <row r="940">
      <c r="A940" s="12"/>
      <c r="F940" s="11"/>
    </row>
    <row r="941">
      <c r="A941" s="12"/>
      <c r="F941" s="11"/>
    </row>
    <row r="942">
      <c r="A942" s="12"/>
      <c r="F942" s="11"/>
    </row>
    <row r="943">
      <c r="A943" s="12"/>
      <c r="F943" s="11"/>
    </row>
    <row r="944">
      <c r="A944" s="12"/>
      <c r="F944" s="11"/>
    </row>
    <row r="945">
      <c r="A945" s="12"/>
      <c r="F945" s="11"/>
    </row>
    <row r="946">
      <c r="A946" s="12"/>
      <c r="F946" s="11"/>
    </row>
    <row r="947">
      <c r="A947" s="12"/>
      <c r="F947" s="11"/>
    </row>
    <row r="948">
      <c r="A948" s="12"/>
      <c r="F948" s="11"/>
    </row>
    <row r="949">
      <c r="A949" s="12"/>
      <c r="F949" s="11"/>
    </row>
    <row r="950">
      <c r="A950" s="12"/>
      <c r="F950" s="11"/>
    </row>
    <row r="951">
      <c r="A951" s="12"/>
      <c r="F951" s="11"/>
    </row>
    <row r="952">
      <c r="A952" s="12"/>
      <c r="F952" s="11"/>
    </row>
    <row r="953">
      <c r="A953" s="12"/>
      <c r="F953" s="11"/>
    </row>
    <row r="954">
      <c r="A954" s="12"/>
      <c r="F954" s="11"/>
    </row>
    <row r="955">
      <c r="A955" s="12"/>
      <c r="F955" s="11"/>
    </row>
    <row r="956">
      <c r="A956" s="12"/>
      <c r="F956" s="11"/>
    </row>
    <row r="957">
      <c r="A957" s="12"/>
      <c r="F957" s="11"/>
    </row>
    <row r="958">
      <c r="A958" s="12"/>
      <c r="F958" s="11"/>
    </row>
    <row r="959">
      <c r="A959" s="12"/>
      <c r="F959" s="11"/>
    </row>
    <row r="960">
      <c r="A960" s="12"/>
      <c r="F960" s="11"/>
    </row>
    <row r="961">
      <c r="A961" s="12"/>
      <c r="F961" s="11"/>
    </row>
    <row r="962">
      <c r="A962" s="12"/>
      <c r="F962" s="11"/>
    </row>
    <row r="963">
      <c r="A963" s="12"/>
      <c r="F963" s="11"/>
    </row>
    <row r="964">
      <c r="A964" s="12"/>
      <c r="F964" s="11"/>
    </row>
    <row r="965">
      <c r="A965" s="12"/>
      <c r="F965" s="11"/>
    </row>
    <row r="966">
      <c r="A966" s="12"/>
      <c r="F966" s="11"/>
    </row>
    <row r="967">
      <c r="A967" s="12"/>
      <c r="F967" s="11"/>
    </row>
    <row r="968">
      <c r="A968" s="12"/>
      <c r="F968" s="11"/>
    </row>
    <row r="969">
      <c r="A969" s="12"/>
      <c r="F969" s="11"/>
    </row>
    <row r="970">
      <c r="A970" s="12"/>
      <c r="F970" s="11"/>
    </row>
    <row r="971">
      <c r="A971" s="12"/>
      <c r="F971" s="11"/>
    </row>
    <row r="972">
      <c r="A972" s="12"/>
      <c r="F972" s="11"/>
    </row>
    <row r="973">
      <c r="A973" s="12"/>
      <c r="F973" s="11"/>
    </row>
    <row r="974">
      <c r="A974" s="12"/>
      <c r="F974" s="11"/>
    </row>
    <row r="975">
      <c r="A975" s="12"/>
      <c r="F975" s="11"/>
    </row>
    <row r="976">
      <c r="A976" s="12"/>
      <c r="F976" s="11"/>
    </row>
    <row r="977">
      <c r="A977" s="12"/>
      <c r="F977" s="11"/>
    </row>
    <row r="978">
      <c r="A978" s="12"/>
      <c r="F978" s="11"/>
    </row>
    <row r="979">
      <c r="A979" s="12"/>
      <c r="F979" s="11"/>
    </row>
    <row r="980">
      <c r="A980" s="12"/>
      <c r="F980" s="11"/>
    </row>
    <row r="981">
      <c r="A981" s="12"/>
      <c r="F981" s="11"/>
    </row>
    <row r="982">
      <c r="A982" s="12"/>
      <c r="F982" s="11"/>
    </row>
    <row r="983">
      <c r="A983" s="12"/>
      <c r="F983" s="11"/>
    </row>
    <row r="984">
      <c r="A984" s="12"/>
      <c r="F984" s="11"/>
    </row>
    <row r="985">
      <c r="A985" s="12"/>
      <c r="F985" s="11"/>
    </row>
    <row r="986">
      <c r="A986" s="12"/>
      <c r="F986" s="11"/>
    </row>
    <row r="987">
      <c r="A987" s="12"/>
      <c r="F987" s="11"/>
    </row>
    <row r="988">
      <c r="A988" s="12"/>
      <c r="F988" s="11"/>
    </row>
    <row r="989">
      <c r="A989" s="12"/>
      <c r="F989" s="11"/>
    </row>
    <row r="990">
      <c r="A990" s="12"/>
      <c r="F990" s="11"/>
    </row>
    <row r="991">
      <c r="A991" s="12"/>
      <c r="F991" s="11"/>
    </row>
    <row r="992">
      <c r="A992" s="12"/>
      <c r="F992" s="11"/>
    </row>
    <row r="993">
      <c r="A993" s="12"/>
      <c r="F993" s="11"/>
    </row>
    <row r="994">
      <c r="A994" s="12"/>
      <c r="F994" s="11"/>
    </row>
    <row r="995">
      <c r="A995" s="12"/>
      <c r="F995" s="11"/>
    </row>
    <row r="996">
      <c r="A996" s="12"/>
      <c r="F996" s="11"/>
    </row>
    <row r="997">
      <c r="A997" s="12"/>
      <c r="F997" s="11"/>
    </row>
    <row r="998">
      <c r="A998" s="12"/>
      <c r="F998" s="11"/>
    </row>
  </sheetData>
  <hyperlinks>
    <hyperlink r:id="rId1" ref="O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I1" s="4" t="s">
        <v>62</v>
      </c>
      <c r="L1" s="13" t="s">
        <v>8</v>
      </c>
    </row>
    <row r="2">
      <c r="A2" s="6" t="s">
        <v>63</v>
      </c>
      <c r="B2" s="7">
        <v>57.47</v>
      </c>
      <c r="C2" s="7">
        <v>57.55</v>
      </c>
      <c r="D2" s="7">
        <v>56.77</v>
      </c>
      <c r="E2" s="7">
        <v>57.01</v>
      </c>
      <c r="F2" s="8">
        <v>57.01</v>
      </c>
      <c r="G2" s="9">
        <v>1.4424018E7</v>
      </c>
    </row>
    <row r="3">
      <c r="A3" s="6" t="s">
        <v>9</v>
      </c>
      <c r="B3" s="7">
        <v>59.9</v>
      </c>
      <c r="C3" s="7">
        <v>61.53</v>
      </c>
      <c r="D3" s="7">
        <v>56.76</v>
      </c>
      <c r="E3" s="7">
        <v>57.01</v>
      </c>
      <c r="F3" s="8">
        <v>56.63</v>
      </c>
      <c r="G3" s="9">
        <v>8.70635E7</v>
      </c>
    </row>
    <row r="4">
      <c r="A4" s="6" t="s">
        <v>10</v>
      </c>
      <c r="B4" s="7">
        <v>64.6</v>
      </c>
      <c r="C4" s="7">
        <v>65.06</v>
      </c>
      <c r="D4" s="7">
        <v>61.52</v>
      </c>
      <c r="E4" s="7">
        <v>62.18</v>
      </c>
      <c r="F4" s="8">
        <v>61.77</v>
      </c>
      <c r="G4" s="9">
        <v>6.98822E7</v>
      </c>
    </row>
    <row r="5">
      <c r="A5" s="6" t="s">
        <v>11</v>
      </c>
      <c r="B5" s="7">
        <v>62.94</v>
      </c>
      <c r="C5" s="7">
        <v>68.49</v>
      </c>
      <c r="D5" s="7">
        <v>62.94</v>
      </c>
      <c r="E5" s="7">
        <v>65.4</v>
      </c>
      <c r="F5" s="8">
        <v>64.97</v>
      </c>
      <c r="G5" s="9">
        <v>6.77741E7</v>
      </c>
    </row>
    <row r="6">
      <c r="A6" s="6" t="s">
        <v>12</v>
      </c>
      <c r="B6" s="7">
        <v>63.57</v>
      </c>
      <c r="C6" s="7">
        <v>64.19</v>
      </c>
      <c r="D6" s="7">
        <v>60.85</v>
      </c>
      <c r="E6" s="7">
        <v>63.13</v>
      </c>
      <c r="F6" s="8">
        <v>62.71</v>
      </c>
      <c r="G6" s="9">
        <v>7.52194E7</v>
      </c>
      <c r="I6" s="14"/>
    </row>
    <row r="7">
      <c r="A7" s="6" t="s">
        <v>13</v>
      </c>
      <c r="B7" s="7">
        <v>61.66</v>
      </c>
      <c r="C7" s="7">
        <v>64.58</v>
      </c>
      <c r="D7" s="7">
        <v>60.43</v>
      </c>
      <c r="E7" s="7">
        <v>63.92</v>
      </c>
      <c r="F7" s="8">
        <v>63.5</v>
      </c>
      <c r="G7" s="9">
        <v>7.37538E7</v>
      </c>
    </row>
    <row r="8">
      <c r="A8" s="6" t="s">
        <v>14</v>
      </c>
      <c r="B8" s="7">
        <v>64.81</v>
      </c>
      <c r="C8" s="7">
        <v>65.64</v>
      </c>
      <c r="D8" s="7">
        <v>61.02</v>
      </c>
      <c r="E8" s="7">
        <v>61.81</v>
      </c>
      <c r="F8" s="8">
        <v>61.4</v>
      </c>
      <c r="G8" s="9">
        <v>6.57148E7</v>
      </c>
    </row>
    <row r="9">
      <c r="A9" s="6" t="s">
        <v>15</v>
      </c>
      <c r="B9" s="7">
        <v>63.49</v>
      </c>
      <c r="C9" s="7">
        <v>66.55</v>
      </c>
      <c r="D9" s="7">
        <v>63.02</v>
      </c>
      <c r="E9" s="7">
        <v>65.04</v>
      </c>
      <c r="F9" s="8">
        <v>64.61</v>
      </c>
      <c r="G9" s="9">
        <v>6.067E7</v>
      </c>
    </row>
    <row r="10">
      <c r="A10" s="6" t="s">
        <v>16</v>
      </c>
      <c r="B10" s="7">
        <v>65.25</v>
      </c>
      <c r="C10" s="7">
        <v>67.13</v>
      </c>
      <c r="D10" s="7">
        <v>63.68</v>
      </c>
      <c r="E10" s="7">
        <v>64.38</v>
      </c>
      <c r="F10" s="8">
        <v>63.96</v>
      </c>
      <c r="G10" s="9">
        <v>7.27237E7</v>
      </c>
    </row>
    <row r="11">
      <c r="A11" s="6" t="s">
        <v>17</v>
      </c>
      <c r="B11" s="7">
        <v>63.74</v>
      </c>
      <c r="C11" s="7">
        <v>66.54</v>
      </c>
      <c r="D11" s="7">
        <v>61.7</v>
      </c>
      <c r="E11" s="7">
        <v>65.92</v>
      </c>
      <c r="F11" s="8">
        <v>65.49</v>
      </c>
      <c r="G11" s="9">
        <v>1.017841E8</v>
      </c>
    </row>
    <row r="12">
      <c r="A12" s="6" t="s">
        <v>18</v>
      </c>
      <c r="B12" s="7">
        <v>60.54</v>
      </c>
      <c r="C12" s="7">
        <v>64.2</v>
      </c>
      <c r="D12" s="7">
        <v>60.51</v>
      </c>
      <c r="E12" s="7">
        <v>63.28</v>
      </c>
      <c r="F12" s="8">
        <v>62.86</v>
      </c>
      <c r="G12" s="9">
        <v>8.93114E7</v>
      </c>
    </row>
    <row r="13">
      <c r="A13" s="6" t="s">
        <v>19</v>
      </c>
      <c r="B13" s="7">
        <v>58.99</v>
      </c>
      <c r="C13" s="7">
        <v>60.93</v>
      </c>
      <c r="D13" s="7">
        <v>56.99</v>
      </c>
      <c r="E13" s="7">
        <v>60.93</v>
      </c>
      <c r="F13" s="8">
        <v>60.53</v>
      </c>
      <c r="G13" s="9">
        <v>1.203495E8</v>
      </c>
    </row>
    <row r="14">
      <c r="A14" s="6" t="s">
        <v>20</v>
      </c>
      <c r="B14" s="7">
        <v>67.41</v>
      </c>
      <c r="C14" s="7">
        <v>68.35</v>
      </c>
      <c r="D14" s="7">
        <v>58.22</v>
      </c>
      <c r="E14" s="7">
        <v>58.71</v>
      </c>
      <c r="F14" s="8">
        <v>58.32</v>
      </c>
      <c r="G14" s="9">
        <v>1.891724E8</v>
      </c>
    </row>
    <row r="15">
      <c r="A15" s="6" t="s">
        <v>21</v>
      </c>
      <c r="B15" s="7">
        <v>65.6</v>
      </c>
      <c r="C15" s="7">
        <v>69.14</v>
      </c>
      <c r="D15" s="7">
        <v>62.97</v>
      </c>
      <c r="E15" s="7">
        <v>67.47</v>
      </c>
      <c r="F15" s="8">
        <v>67.03</v>
      </c>
      <c r="G15" s="9">
        <v>7.34523E7</v>
      </c>
    </row>
    <row r="16">
      <c r="A16" s="6" t="s">
        <v>22</v>
      </c>
      <c r="B16" s="7">
        <v>63.77</v>
      </c>
      <c r="C16" s="7">
        <v>66.66</v>
      </c>
      <c r="D16" s="7">
        <v>63.58</v>
      </c>
      <c r="E16" s="7">
        <v>65.86</v>
      </c>
      <c r="F16" s="8">
        <v>65.01</v>
      </c>
      <c r="G16" s="9">
        <v>5.46642E7</v>
      </c>
    </row>
    <row r="17">
      <c r="A17" s="6" t="s">
        <v>23</v>
      </c>
      <c r="B17" s="7">
        <v>62.51</v>
      </c>
      <c r="C17" s="7">
        <v>64.87</v>
      </c>
      <c r="D17" s="7">
        <v>61.87</v>
      </c>
      <c r="E17" s="7">
        <v>64.63</v>
      </c>
      <c r="F17" s="8">
        <v>63.8</v>
      </c>
      <c r="G17" s="9">
        <v>4.69413E7</v>
      </c>
    </row>
    <row r="18">
      <c r="A18" s="6" t="s">
        <v>24</v>
      </c>
      <c r="B18" s="7">
        <v>63.07</v>
      </c>
      <c r="C18" s="7">
        <v>63.83</v>
      </c>
      <c r="D18" s="7">
        <v>61.41</v>
      </c>
      <c r="E18" s="7">
        <v>62.8</v>
      </c>
      <c r="F18" s="8">
        <v>61.99</v>
      </c>
      <c r="G18" s="9">
        <v>6.97749E7</v>
      </c>
    </row>
    <row r="19">
      <c r="A19" s="6" t="s">
        <v>25</v>
      </c>
      <c r="B19" s="7">
        <v>61.75</v>
      </c>
      <c r="C19" s="7">
        <v>66.26</v>
      </c>
      <c r="D19" s="7">
        <v>60.49</v>
      </c>
      <c r="E19" s="7">
        <v>64.17</v>
      </c>
      <c r="F19" s="8">
        <v>63.34</v>
      </c>
      <c r="G19" s="9">
        <v>8.52054E7</v>
      </c>
    </row>
    <row r="20">
      <c r="A20" s="6" t="s">
        <v>26</v>
      </c>
      <c r="B20" s="7">
        <v>64.72</v>
      </c>
      <c r="C20" s="7">
        <v>64.85</v>
      </c>
      <c r="D20" s="7">
        <v>60.29</v>
      </c>
      <c r="E20" s="7">
        <v>61.09</v>
      </c>
      <c r="F20" s="8">
        <v>60.3</v>
      </c>
      <c r="G20" s="9">
        <v>8.80079E7</v>
      </c>
    </row>
    <row r="21">
      <c r="A21" s="6" t="s">
        <v>27</v>
      </c>
      <c r="B21" s="7">
        <v>70.04</v>
      </c>
      <c r="C21" s="7">
        <v>70.44</v>
      </c>
      <c r="D21" s="7">
        <v>64.25</v>
      </c>
      <c r="E21" s="7">
        <v>64.59</v>
      </c>
      <c r="F21" s="8">
        <v>63.76</v>
      </c>
      <c r="G21" s="9">
        <v>6.79613E7</v>
      </c>
    </row>
    <row r="22">
      <c r="A22" s="6" t="s">
        <v>28</v>
      </c>
      <c r="B22" s="7">
        <v>67.56</v>
      </c>
      <c r="C22" s="7">
        <v>70.08</v>
      </c>
      <c r="D22" s="7">
        <v>67.41</v>
      </c>
      <c r="E22" s="7">
        <v>69.11</v>
      </c>
      <c r="F22" s="8">
        <v>68.22</v>
      </c>
      <c r="G22" s="9">
        <v>4.36531E7</v>
      </c>
    </row>
    <row r="23">
      <c r="A23" s="6" t="s">
        <v>29</v>
      </c>
      <c r="B23" s="7">
        <v>65.7</v>
      </c>
      <c r="C23" s="7">
        <v>69.53</v>
      </c>
      <c r="D23" s="7">
        <v>65.55</v>
      </c>
      <c r="E23" s="7">
        <v>67.37</v>
      </c>
      <c r="F23" s="8">
        <v>66.5</v>
      </c>
      <c r="G23" s="9">
        <v>6.10801E7</v>
      </c>
    </row>
    <row r="24">
      <c r="A24" s="6" t="s">
        <v>30</v>
      </c>
      <c r="B24" s="7">
        <v>72.02</v>
      </c>
      <c r="C24" s="7">
        <v>72.39</v>
      </c>
      <c r="D24" s="7">
        <v>64.88</v>
      </c>
      <c r="E24" s="7">
        <v>65.22</v>
      </c>
      <c r="F24" s="8">
        <v>64.38</v>
      </c>
      <c r="G24" s="9">
        <v>7.66764E7</v>
      </c>
    </row>
    <row r="25">
      <c r="A25" s="6" t="s">
        <v>31</v>
      </c>
      <c r="B25" s="7">
        <v>69.77</v>
      </c>
      <c r="C25" s="7">
        <v>76.97</v>
      </c>
      <c r="D25" s="7">
        <v>68.74</v>
      </c>
      <c r="E25" s="7">
        <v>71.93</v>
      </c>
      <c r="F25" s="8">
        <v>71.0</v>
      </c>
      <c r="G25" s="9">
        <v>1.620182E8</v>
      </c>
    </row>
    <row r="26">
      <c r="A26" s="6" t="s">
        <v>32</v>
      </c>
      <c r="B26" s="7">
        <v>70.79</v>
      </c>
      <c r="C26" s="7">
        <v>72.49</v>
      </c>
      <c r="D26" s="7">
        <v>68.03</v>
      </c>
      <c r="E26" s="7">
        <v>69.31</v>
      </c>
      <c r="F26" s="8">
        <v>68.42</v>
      </c>
      <c r="G26" s="9">
        <v>6.14961E7</v>
      </c>
    </row>
    <row r="27">
      <c r="A27" s="6" t="s">
        <v>33</v>
      </c>
      <c r="B27" s="7">
        <v>73.18</v>
      </c>
      <c r="C27" s="7">
        <v>73.6</v>
      </c>
      <c r="D27" s="7">
        <v>70.74</v>
      </c>
      <c r="E27" s="7">
        <v>70.89</v>
      </c>
      <c r="F27" s="8">
        <v>69.98</v>
      </c>
      <c r="G27" s="9">
        <v>7.85801E7</v>
      </c>
    </row>
    <row r="28">
      <c r="A28" s="6" t="s">
        <v>34</v>
      </c>
      <c r="B28" s="7">
        <v>74.26</v>
      </c>
      <c r="C28" s="7">
        <v>75.53</v>
      </c>
      <c r="D28" s="7">
        <v>71.93</v>
      </c>
      <c r="E28" s="7">
        <v>73.0</v>
      </c>
      <c r="F28" s="8">
        <v>72.06</v>
      </c>
      <c r="G28" s="9">
        <v>5.55022E7</v>
      </c>
    </row>
    <row r="29">
      <c r="A29" s="6" t="s">
        <v>35</v>
      </c>
      <c r="B29" s="7">
        <v>75.64</v>
      </c>
      <c r="C29" s="7">
        <v>76.05</v>
      </c>
      <c r="D29" s="7">
        <v>73.63</v>
      </c>
      <c r="E29" s="7">
        <v>73.91</v>
      </c>
      <c r="F29" s="8">
        <v>72.58</v>
      </c>
      <c r="G29" s="9">
        <v>4.82334E7</v>
      </c>
    </row>
    <row r="30">
      <c r="A30" s="6" t="s">
        <v>36</v>
      </c>
      <c r="B30" s="7">
        <v>78.47</v>
      </c>
      <c r="C30" s="7">
        <v>80.17</v>
      </c>
      <c r="D30" s="7">
        <v>77.12</v>
      </c>
      <c r="E30" s="7">
        <v>77.37</v>
      </c>
      <c r="F30" s="8">
        <v>75.98</v>
      </c>
      <c r="G30" s="9">
        <v>5.36878E7</v>
      </c>
    </row>
    <row r="31">
      <c r="A31" s="6" t="s">
        <v>37</v>
      </c>
      <c r="B31" s="7">
        <v>77.11</v>
      </c>
      <c r="C31" s="7">
        <v>79.14</v>
      </c>
      <c r="D31" s="7">
        <v>75.13</v>
      </c>
      <c r="E31" s="7">
        <v>78.38</v>
      </c>
      <c r="F31" s="8">
        <v>76.97</v>
      </c>
      <c r="G31" s="9">
        <v>4.03773E7</v>
      </c>
    </row>
    <row r="32">
      <c r="A32" s="6" t="s">
        <v>38</v>
      </c>
      <c r="B32" s="7">
        <v>74.32</v>
      </c>
      <c r="C32" s="7">
        <v>77.69</v>
      </c>
      <c r="D32" s="7">
        <v>73.05</v>
      </c>
      <c r="E32" s="7">
        <v>76.97</v>
      </c>
      <c r="F32" s="8">
        <v>75.58</v>
      </c>
      <c r="G32" s="9">
        <v>4.46142E7</v>
      </c>
    </row>
    <row r="33">
      <c r="A33" s="6" t="s">
        <v>39</v>
      </c>
      <c r="B33" s="7">
        <v>75.03</v>
      </c>
      <c r="C33" s="7">
        <v>76.35</v>
      </c>
      <c r="D33" s="7">
        <v>73.39</v>
      </c>
      <c r="E33" s="7">
        <v>74.19</v>
      </c>
      <c r="F33" s="8">
        <v>72.85</v>
      </c>
      <c r="G33" s="9">
        <v>3.84092E7</v>
      </c>
    </row>
    <row r="34">
      <c r="A34" s="6" t="s">
        <v>40</v>
      </c>
      <c r="B34" s="7">
        <v>79.0</v>
      </c>
      <c r="C34" s="7">
        <v>79.99</v>
      </c>
      <c r="D34" s="7">
        <v>72.53</v>
      </c>
      <c r="E34" s="7">
        <v>74.62</v>
      </c>
      <c r="F34" s="8">
        <v>73.28</v>
      </c>
      <c r="G34" s="9">
        <v>7.87299E7</v>
      </c>
    </row>
    <row r="35">
      <c r="A35" s="6" t="s">
        <v>41</v>
      </c>
      <c r="B35" s="7">
        <v>72.93</v>
      </c>
      <c r="C35" s="7">
        <v>77.54</v>
      </c>
      <c r="D35" s="7">
        <v>72.91</v>
      </c>
      <c r="E35" s="7">
        <v>76.27</v>
      </c>
      <c r="F35" s="8">
        <v>74.9</v>
      </c>
      <c r="G35" s="9">
        <v>5.77157E7</v>
      </c>
    </row>
    <row r="36">
      <c r="A36" s="6" t="s">
        <v>42</v>
      </c>
      <c r="B36" s="7">
        <v>72.34</v>
      </c>
      <c r="C36" s="7">
        <v>73.28</v>
      </c>
      <c r="D36" s="7">
        <v>71.03</v>
      </c>
      <c r="E36" s="7">
        <v>72.47</v>
      </c>
      <c r="F36" s="8">
        <v>71.17</v>
      </c>
      <c r="G36" s="9">
        <v>4.80837E7</v>
      </c>
    </row>
    <row r="37">
      <c r="A37" s="6" t="s">
        <v>43</v>
      </c>
      <c r="B37" s="7">
        <v>76.04</v>
      </c>
      <c r="C37" s="7">
        <v>77.5</v>
      </c>
      <c r="D37" s="7">
        <v>72.4</v>
      </c>
      <c r="E37" s="7">
        <v>72.63</v>
      </c>
      <c r="F37" s="8">
        <v>71.32</v>
      </c>
      <c r="G37" s="9">
        <v>7.47504E7</v>
      </c>
    </row>
    <row r="38">
      <c r="A38" s="6" t="s">
        <v>44</v>
      </c>
      <c r="B38" s="7">
        <v>71.45</v>
      </c>
      <c r="C38" s="7">
        <v>77.03</v>
      </c>
      <c r="D38" s="7">
        <v>70.06</v>
      </c>
      <c r="E38" s="7">
        <v>76.39</v>
      </c>
      <c r="F38" s="8">
        <v>75.02</v>
      </c>
      <c r="G38" s="9">
        <v>1.075082E8</v>
      </c>
    </row>
    <row r="39">
      <c r="A39" s="6" t="s">
        <v>45</v>
      </c>
      <c r="B39" s="7">
        <v>59.58</v>
      </c>
      <c r="C39" s="7">
        <v>74.19</v>
      </c>
      <c r="D39" s="7">
        <v>59.44</v>
      </c>
      <c r="E39" s="7">
        <v>72.04</v>
      </c>
      <c r="F39" s="8">
        <v>70.74</v>
      </c>
      <c r="G39" s="9">
        <v>1.978616E8</v>
      </c>
    </row>
    <row r="40">
      <c r="A40" s="6" t="s">
        <v>46</v>
      </c>
      <c r="B40" s="7">
        <v>61.38</v>
      </c>
      <c r="C40" s="7">
        <v>62.18</v>
      </c>
      <c r="D40" s="7">
        <v>59.19</v>
      </c>
      <c r="E40" s="7">
        <v>59.79</v>
      </c>
      <c r="F40" s="8">
        <v>58.71</v>
      </c>
      <c r="G40" s="9">
        <v>6.06096E7</v>
      </c>
    </row>
    <row r="41">
      <c r="A41" s="6" t="s">
        <v>47</v>
      </c>
      <c r="B41" s="7">
        <v>63.3</v>
      </c>
      <c r="C41" s="7">
        <v>64.85</v>
      </c>
      <c r="D41" s="7">
        <v>60.11</v>
      </c>
      <c r="E41" s="7">
        <v>60.53</v>
      </c>
      <c r="F41" s="8">
        <v>59.44</v>
      </c>
      <c r="G41" s="9">
        <v>6.35059E7</v>
      </c>
    </row>
    <row r="42">
      <c r="A42" s="6" t="s">
        <v>48</v>
      </c>
      <c r="B42" s="7">
        <v>60.05</v>
      </c>
      <c r="C42" s="7">
        <v>63.66</v>
      </c>
      <c r="D42" s="7">
        <v>59.6</v>
      </c>
      <c r="E42" s="7">
        <v>62.8</v>
      </c>
      <c r="F42" s="8">
        <v>61.26</v>
      </c>
      <c r="G42" s="9">
        <v>6.02296E7</v>
      </c>
    </row>
    <row r="43">
      <c r="A43" s="6" t="s">
        <v>49</v>
      </c>
      <c r="B43" s="7">
        <v>61.13</v>
      </c>
      <c r="C43" s="7">
        <v>63.11</v>
      </c>
      <c r="D43" s="7">
        <v>60.1</v>
      </c>
      <c r="E43" s="7">
        <v>60.59</v>
      </c>
      <c r="F43" s="8">
        <v>59.11</v>
      </c>
      <c r="G43" s="9">
        <v>5.70308E7</v>
      </c>
    </row>
    <row r="44">
      <c r="A44" s="6" t="s">
        <v>50</v>
      </c>
      <c r="B44" s="7">
        <v>62.15</v>
      </c>
      <c r="C44" s="7">
        <v>63.19</v>
      </c>
      <c r="D44" s="7">
        <v>59.49</v>
      </c>
      <c r="E44" s="7">
        <v>60.02</v>
      </c>
      <c r="F44" s="8">
        <v>58.55</v>
      </c>
      <c r="G44" s="9">
        <v>7.42787E7</v>
      </c>
    </row>
    <row r="45">
      <c r="A45" s="6" t="s">
        <v>51</v>
      </c>
      <c r="B45" s="7">
        <v>62.38</v>
      </c>
      <c r="C45" s="7">
        <v>63.75</v>
      </c>
      <c r="D45" s="7">
        <v>60.42</v>
      </c>
      <c r="E45" s="7">
        <v>63.11</v>
      </c>
      <c r="F45" s="8">
        <v>61.56</v>
      </c>
      <c r="G45" s="9">
        <v>8.78377E7</v>
      </c>
    </row>
    <row r="46">
      <c r="A46" s="6" t="s">
        <v>52</v>
      </c>
      <c r="B46" s="7">
        <v>58.12</v>
      </c>
      <c r="C46" s="7">
        <v>60.39</v>
      </c>
      <c r="D46" s="7">
        <v>56.79</v>
      </c>
      <c r="E46" s="7">
        <v>58.3</v>
      </c>
      <c r="F46" s="8">
        <v>56.87</v>
      </c>
      <c r="G46" s="9">
        <v>7.22582E7</v>
      </c>
    </row>
    <row r="47">
      <c r="A47" s="6" t="s">
        <v>53</v>
      </c>
      <c r="B47" s="7">
        <v>57.73</v>
      </c>
      <c r="C47" s="7">
        <v>58.7</v>
      </c>
      <c r="D47" s="7">
        <v>54.75</v>
      </c>
      <c r="E47" s="7">
        <v>58.59</v>
      </c>
      <c r="F47" s="8">
        <v>57.16</v>
      </c>
      <c r="G47" s="9">
        <v>6.8746E7</v>
      </c>
    </row>
    <row r="48">
      <c r="A48" s="6" t="s">
        <v>54</v>
      </c>
      <c r="B48" s="7">
        <v>55.23</v>
      </c>
      <c r="C48" s="7">
        <v>59.2</v>
      </c>
      <c r="D48" s="7">
        <v>53.5</v>
      </c>
      <c r="E48" s="7">
        <v>57.62</v>
      </c>
      <c r="F48" s="8">
        <v>56.21</v>
      </c>
      <c r="G48" s="9">
        <v>8.74579E7</v>
      </c>
    </row>
    <row r="49">
      <c r="A49" s="6" t="s">
        <v>55</v>
      </c>
      <c r="B49" s="7">
        <v>55.64</v>
      </c>
      <c r="C49" s="7">
        <v>56.69</v>
      </c>
      <c r="D49" s="7">
        <v>53.34</v>
      </c>
      <c r="E49" s="7">
        <v>55.76</v>
      </c>
      <c r="F49" s="8">
        <v>54.39</v>
      </c>
      <c r="G49" s="9">
        <v>8.23537E7</v>
      </c>
    </row>
    <row r="50">
      <c r="A50" s="6" t="s">
        <v>56</v>
      </c>
      <c r="B50" s="7">
        <v>55.4</v>
      </c>
      <c r="C50" s="7">
        <v>59.55</v>
      </c>
      <c r="D50" s="7">
        <v>52.28</v>
      </c>
      <c r="E50" s="7">
        <v>54.39</v>
      </c>
      <c r="F50" s="8">
        <v>53.06</v>
      </c>
      <c r="G50" s="9">
        <v>1.970481E8</v>
      </c>
    </row>
    <row r="51">
      <c r="A51" s="6" t="s">
        <v>57</v>
      </c>
      <c r="B51" s="7">
        <v>62.84</v>
      </c>
      <c r="C51" s="7">
        <v>65.4</v>
      </c>
      <c r="D51" s="7">
        <v>52.5</v>
      </c>
      <c r="E51" s="7">
        <v>57.25</v>
      </c>
      <c r="F51" s="8">
        <v>55.85</v>
      </c>
      <c r="G51" s="9">
        <v>1.813261E8</v>
      </c>
    </row>
    <row r="52">
      <c r="A52" s="6" t="s">
        <v>58</v>
      </c>
      <c r="B52" s="7">
        <v>68.56</v>
      </c>
      <c r="C52" s="7">
        <v>68.89</v>
      </c>
      <c r="D52" s="7">
        <v>63.14</v>
      </c>
      <c r="E52" s="7">
        <v>63.29</v>
      </c>
      <c r="F52" s="8">
        <v>61.74</v>
      </c>
      <c r="G52" s="9">
        <v>9.8671E7</v>
      </c>
    </row>
    <row r="53">
      <c r="A53" s="6" t="s">
        <v>59</v>
      </c>
      <c r="B53" s="7">
        <v>72.14</v>
      </c>
      <c r="C53" s="7">
        <v>74.16</v>
      </c>
      <c r="D53" s="7">
        <v>65.17</v>
      </c>
      <c r="E53" s="7">
        <v>67.94</v>
      </c>
      <c r="F53" s="8">
        <v>66.28</v>
      </c>
      <c r="G53" s="9">
        <v>1.38289E8</v>
      </c>
    </row>
    <row r="54">
      <c r="A54" s="6" t="s">
        <v>60</v>
      </c>
      <c r="B54" s="7">
        <v>77.51</v>
      </c>
      <c r="C54" s="7">
        <v>80.19</v>
      </c>
      <c r="D54" s="7">
        <v>71.32</v>
      </c>
      <c r="E54" s="7">
        <v>71.66</v>
      </c>
      <c r="F54" s="8">
        <v>69.91</v>
      </c>
      <c r="G54" s="9">
        <v>6.33434E7</v>
      </c>
    </row>
    <row r="55">
      <c r="A55" s="6" t="s">
        <v>61</v>
      </c>
      <c r="B55" s="7">
        <v>77.48</v>
      </c>
      <c r="C55" s="7">
        <v>79.0</v>
      </c>
      <c r="D55" s="7">
        <v>76.97</v>
      </c>
      <c r="E55" s="7">
        <v>78.59</v>
      </c>
      <c r="F55" s="8">
        <v>76.28</v>
      </c>
      <c r="G55" s="7" t="s">
        <v>64</v>
      </c>
    </row>
    <row r="56">
      <c r="A56" s="12"/>
      <c r="F56" s="11"/>
    </row>
    <row r="57">
      <c r="A57" s="12"/>
      <c r="F57" s="11"/>
    </row>
    <row r="58">
      <c r="A58" s="12"/>
      <c r="F58" s="11"/>
    </row>
    <row r="59">
      <c r="A59" s="12"/>
      <c r="F59" s="11"/>
    </row>
    <row r="60">
      <c r="A60" s="12"/>
      <c r="F60" s="11"/>
    </row>
    <row r="61">
      <c r="A61" s="12"/>
      <c r="F61" s="11"/>
    </row>
    <row r="62">
      <c r="A62" s="12"/>
      <c r="F62" s="11"/>
    </row>
    <row r="63">
      <c r="A63" s="12"/>
      <c r="F63" s="11"/>
    </row>
    <row r="64">
      <c r="A64" s="12"/>
      <c r="F64" s="11"/>
    </row>
    <row r="65">
      <c r="A65" s="12"/>
      <c r="F65" s="11"/>
    </row>
    <row r="66">
      <c r="A66" s="12"/>
      <c r="F66" s="11"/>
    </row>
    <row r="67">
      <c r="A67" s="12"/>
      <c r="F67" s="11"/>
    </row>
    <row r="68">
      <c r="A68" s="12"/>
      <c r="F68" s="11"/>
    </row>
    <row r="69">
      <c r="A69" s="12"/>
      <c r="F69" s="11"/>
    </row>
    <row r="70">
      <c r="A70" s="12"/>
      <c r="F70" s="11"/>
    </row>
    <row r="71">
      <c r="A71" s="12"/>
      <c r="F71" s="11"/>
    </row>
    <row r="72">
      <c r="A72" s="12"/>
      <c r="F72" s="11"/>
    </row>
    <row r="73">
      <c r="A73" s="12"/>
      <c r="F73" s="11"/>
    </row>
    <row r="74">
      <c r="A74" s="12"/>
      <c r="F74" s="11"/>
    </row>
    <row r="75">
      <c r="A75" s="12"/>
      <c r="F75" s="11"/>
    </row>
    <row r="76">
      <c r="A76" s="12"/>
      <c r="F76" s="11"/>
    </row>
    <row r="77">
      <c r="A77" s="12"/>
      <c r="F77" s="11"/>
    </row>
    <row r="78">
      <c r="A78" s="12"/>
      <c r="F78" s="11"/>
    </row>
    <row r="79">
      <c r="A79" s="12"/>
      <c r="F79" s="11"/>
    </row>
    <row r="80">
      <c r="A80" s="12"/>
      <c r="F80" s="11"/>
    </row>
    <row r="81">
      <c r="A81" s="12"/>
      <c r="F81" s="11"/>
    </row>
    <row r="82">
      <c r="A82" s="12"/>
      <c r="F82" s="11"/>
    </row>
    <row r="83">
      <c r="A83" s="12"/>
      <c r="F83" s="11"/>
    </row>
    <row r="84">
      <c r="A84" s="12"/>
      <c r="F84" s="11"/>
    </row>
    <row r="85">
      <c r="A85" s="12"/>
      <c r="F85" s="11"/>
    </row>
    <row r="86">
      <c r="A86" s="12"/>
      <c r="F86" s="11"/>
    </row>
    <row r="87">
      <c r="A87" s="12"/>
      <c r="F87" s="11"/>
    </row>
    <row r="88">
      <c r="A88" s="12"/>
      <c r="F88" s="11"/>
    </row>
    <row r="89">
      <c r="A89" s="12"/>
      <c r="F89" s="11"/>
    </row>
    <row r="90">
      <c r="A90" s="12"/>
      <c r="F90" s="11"/>
    </row>
    <row r="91">
      <c r="A91" s="12"/>
      <c r="F91" s="11"/>
    </row>
    <row r="92">
      <c r="A92" s="12"/>
      <c r="F92" s="11"/>
    </row>
    <row r="93">
      <c r="A93" s="12"/>
      <c r="F93" s="11"/>
    </row>
    <row r="94">
      <c r="A94" s="12"/>
      <c r="F94" s="11"/>
    </row>
    <row r="95">
      <c r="A95" s="12"/>
      <c r="F95" s="11"/>
    </row>
    <row r="96">
      <c r="A96" s="12"/>
      <c r="F96" s="11"/>
    </row>
    <row r="97">
      <c r="A97" s="12"/>
      <c r="F97" s="11"/>
    </row>
    <row r="98">
      <c r="A98" s="12"/>
      <c r="F98" s="11"/>
    </row>
    <row r="99">
      <c r="A99" s="12"/>
      <c r="F99" s="11"/>
    </row>
    <row r="100">
      <c r="A100" s="12"/>
      <c r="F100" s="11"/>
    </row>
    <row r="101">
      <c r="A101" s="12"/>
      <c r="F101" s="11"/>
    </row>
    <row r="102">
      <c r="A102" s="12"/>
      <c r="F102" s="11"/>
    </row>
    <row r="103">
      <c r="A103" s="12"/>
      <c r="F103" s="11"/>
    </row>
    <row r="104">
      <c r="A104" s="12"/>
      <c r="F104" s="11"/>
    </row>
    <row r="105">
      <c r="A105" s="12"/>
      <c r="F105" s="11"/>
    </row>
    <row r="106">
      <c r="A106" s="12"/>
      <c r="F106" s="11"/>
    </row>
    <row r="107">
      <c r="A107" s="12"/>
      <c r="F107" s="11"/>
    </row>
    <row r="108">
      <c r="A108" s="12"/>
      <c r="F108" s="11"/>
    </row>
    <row r="109">
      <c r="A109" s="12"/>
      <c r="F109" s="11"/>
    </row>
    <row r="110">
      <c r="A110" s="12"/>
      <c r="F110" s="11"/>
    </row>
    <row r="111">
      <c r="A111" s="12"/>
      <c r="F111" s="11"/>
    </row>
    <row r="112">
      <c r="A112" s="12"/>
      <c r="F112" s="11"/>
    </row>
    <row r="113">
      <c r="A113" s="12"/>
      <c r="F113" s="11"/>
    </row>
    <row r="114">
      <c r="A114" s="12"/>
      <c r="F114" s="11"/>
    </row>
    <row r="115">
      <c r="A115" s="12"/>
      <c r="F115" s="11"/>
    </row>
    <row r="116">
      <c r="A116" s="12"/>
      <c r="F116" s="11"/>
    </row>
    <row r="117">
      <c r="A117" s="12"/>
      <c r="F117" s="11"/>
    </row>
    <row r="118">
      <c r="A118" s="12"/>
      <c r="F118" s="11"/>
    </row>
    <row r="119">
      <c r="A119" s="12"/>
      <c r="F119" s="11"/>
    </row>
    <row r="120">
      <c r="A120" s="12"/>
      <c r="F120" s="11"/>
    </row>
    <row r="121">
      <c r="A121" s="12"/>
      <c r="F121" s="11"/>
    </row>
    <row r="122">
      <c r="A122" s="12"/>
      <c r="F122" s="11"/>
    </row>
    <row r="123">
      <c r="A123" s="12"/>
      <c r="F123" s="11"/>
    </row>
    <row r="124">
      <c r="A124" s="12"/>
      <c r="F124" s="11"/>
    </row>
    <row r="125">
      <c r="A125" s="12"/>
      <c r="F125" s="11"/>
    </row>
    <row r="126">
      <c r="A126" s="12"/>
      <c r="F126" s="11"/>
    </row>
    <row r="127">
      <c r="A127" s="12"/>
      <c r="F127" s="11"/>
    </row>
    <row r="128">
      <c r="A128" s="12"/>
      <c r="F128" s="11"/>
    </row>
    <row r="129">
      <c r="A129" s="12"/>
      <c r="F129" s="11"/>
    </row>
    <row r="130">
      <c r="A130" s="12"/>
      <c r="F130" s="11"/>
    </row>
    <row r="131">
      <c r="A131" s="12"/>
      <c r="F131" s="11"/>
    </row>
    <row r="132">
      <c r="A132" s="12"/>
      <c r="F132" s="11"/>
    </row>
    <row r="133">
      <c r="A133" s="12"/>
      <c r="F133" s="11"/>
    </row>
    <row r="134">
      <c r="A134" s="12"/>
      <c r="F134" s="11"/>
    </row>
    <row r="135">
      <c r="A135" s="12"/>
      <c r="F135" s="11"/>
    </row>
    <row r="136">
      <c r="A136" s="12"/>
      <c r="F136" s="11"/>
    </row>
    <row r="137">
      <c r="A137" s="12"/>
      <c r="F137" s="11"/>
    </row>
    <row r="138">
      <c r="A138" s="12"/>
      <c r="F138" s="11"/>
    </row>
    <row r="139">
      <c r="A139" s="12"/>
      <c r="F139" s="11"/>
    </row>
    <row r="140">
      <c r="A140" s="12"/>
      <c r="F140" s="11"/>
    </row>
    <row r="141">
      <c r="A141" s="12"/>
      <c r="F141" s="11"/>
    </row>
    <row r="142">
      <c r="A142" s="12"/>
      <c r="F142" s="11"/>
    </row>
    <row r="143">
      <c r="A143" s="12"/>
      <c r="F143" s="11"/>
    </row>
    <row r="144">
      <c r="A144" s="12"/>
      <c r="F144" s="11"/>
    </row>
    <row r="145">
      <c r="A145" s="12"/>
      <c r="F145" s="11"/>
    </row>
    <row r="146">
      <c r="A146" s="12"/>
      <c r="F146" s="11"/>
    </row>
    <row r="147">
      <c r="A147" s="12"/>
      <c r="F147" s="11"/>
    </row>
    <row r="148">
      <c r="A148" s="12"/>
      <c r="F148" s="11"/>
    </row>
    <row r="149">
      <c r="A149" s="12"/>
      <c r="F149" s="11"/>
    </row>
    <row r="150">
      <c r="A150" s="12"/>
      <c r="F150" s="11"/>
    </row>
    <row r="151">
      <c r="A151" s="12"/>
      <c r="F151" s="11"/>
    </row>
    <row r="152">
      <c r="A152" s="12"/>
      <c r="F152" s="11"/>
    </row>
    <row r="153">
      <c r="A153" s="12"/>
      <c r="F153" s="11"/>
    </row>
    <row r="154">
      <c r="A154" s="12"/>
      <c r="F154" s="11"/>
    </row>
    <row r="155">
      <c r="A155" s="12"/>
      <c r="F155" s="11"/>
    </row>
    <row r="156">
      <c r="A156" s="12"/>
      <c r="F156" s="11"/>
    </row>
    <row r="157">
      <c r="A157" s="12"/>
      <c r="F157" s="11"/>
    </row>
    <row r="158">
      <c r="A158" s="12"/>
      <c r="F158" s="11"/>
    </row>
    <row r="159">
      <c r="A159" s="12"/>
      <c r="F159" s="11"/>
    </row>
    <row r="160">
      <c r="A160" s="12"/>
      <c r="F160" s="11"/>
    </row>
    <row r="161">
      <c r="A161" s="12"/>
      <c r="F161" s="11"/>
    </row>
    <row r="162">
      <c r="A162" s="12"/>
      <c r="F162" s="11"/>
    </row>
    <row r="163">
      <c r="A163" s="12"/>
      <c r="F163" s="11"/>
    </row>
    <row r="164">
      <c r="A164" s="12"/>
      <c r="F164" s="11"/>
    </row>
    <row r="165">
      <c r="A165" s="12"/>
      <c r="F165" s="11"/>
    </row>
    <row r="166">
      <c r="A166" s="12"/>
      <c r="F166" s="11"/>
    </row>
    <row r="167">
      <c r="A167" s="12"/>
      <c r="F167" s="11"/>
    </row>
    <row r="168">
      <c r="A168" s="12"/>
      <c r="F168" s="11"/>
    </row>
    <row r="169">
      <c r="A169" s="12"/>
      <c r="F169" s="11"/>
    </row>
    <row r="170">
      <c r="A170" s="12"/>
      <c r="F170" s="11"/>
    </row>
    <row r="171">
      <c r="A171" s="12"/>
      <c r="F171" s="11"/>
    </row>
    <row r="172">
      <c r="A172" s="12"/>
      <c r="F172" s="11"/>
    </row>
    <row r="173">
      <c r="A173" s="12"/>
      <c r="F173" s="11"/>
    </row>
    <row r="174">
      <c r="A174" s="12"/>
      <c r="F174" s="11"/>
    </row>
    <row r="175">
      <c r="A175" s="12"/>
      <c r="F175" s="11"/>
    </row>
    <row r="176">
      <c r="A176" s="12"/>
      <c r="F176" s="11"/>
    </row>
    <row r="177">
      <c r="A177" s="12"/>
      <c r="F177" s="11"/>
    </row>
    <row r="178">
      <c r="A178" s="12"/>
      <c r="F178" s="11"/>
    </row>
    <row r="179">
      <c r="A179" s="12"/>
      <c r="F179" s="11"/>
    </row>
    <row r="180">
      <c r="A180" s="12"/>
      <c r="F180" s="11"/>
    </row>
    <row r="181">
      <c r="A181" s="12"/>
      <c r="F181" s="11"/>
    </row>
    <row r="182">
      <c r="A182" s="12"/>
      <c r="F182" s="11"/>
    </row>
    <row r="183">
      <c r="A183" s="12"/>
      <c r="F183" s="11"/>
    </row>
    <row r="184">
      <c r="A184" s="12"/>
      <c r="F184" s="11"/>
    </row>
    <row r="185">
      <c r="A185" s="12"/>
      <c r="F185" s="11"/>
    </row>
    <row r="186">
      <c r="A186" s="12"/>
      <c r="F186" s="11"/>
    </row>
    <row r="187">
      <c r="A187" s="12"/>
      <c r="F187" s="11"/>
    </row>
    <row r="188">
      <c r="A188" s="12"/>
      <c r="F188" s="11"/>
    </row>
    <row r="189">
      <c r="A189" s="12"/>
      <c r="F189" s="11"/>
    </row>
    <row r="190">
      <c r="A190" s="12"/>
      <c r="F190" s="11"/>
    </row>
    <row r="191">
      <c r="A191" s="12"/>
      <c r="F191" s="11"/>
    </row>
    <row r="192">
      <c r="A192" s="12"/>
      <c r="F192" s="11"/>
    </row>
    <row r="193">
      <c r="A193" s="12"/>
      <c r="F193" s="11"/>
    </row>
    <row r="194">
      <c r="A194" s="12"/>
      <c r="F194" s="11"/>
    </row>
    <row r="195">
      <c r="A195" s="12"/>
      <c r="F195" s="11"/>
    </row>
    <row r="196">
      <c r="A196" s="12"/>
      <c r="F196" s="11"/>
    </row>
    <row r="197">
      <c r="A197" s="12"/>
      <c r="F197" s="11"/>
    </row>
    <row r="198">
      <c r="A198" s="12"/>
      <c r="F198" s="11"/>
    </row>
    <row r="199">
      <c r="A199" s="12"/>
      <c r="F199" s="11"/>
    </row>
    <row r="200">
      <c r="A200" s="12"/>
      <c r="F200" s="11"/>
    </row>
    <row r="201">
      <c r="A201" s="12"/>
      <c r="F201" s="11"/>
    </row>
    <row r="202">
      <c r="A202" s="12"/>
      <c r="F202" s="11"/>
    </row>
    <row r="203">
      <c r="A203" s="12"/>
      <c r="F203" s="11"/>
    </row>
    <row r="204">
      <c r="A204" s="12"/>
      <c r="F204" s="11"/>
    </row>
    <row r="205">
      <c r="A205" s="12"/>
      <c r="F205" s="11"/>
    </row>
    <row r="206">
      <c r="A206" s="12"/>
      <c r="F206" s="11"/>
    </row>
    <row r="207">
      <c r="A207" s="12"/>
      <c r="F207" s="11"/>
    </row>
    <row r="208">
      <c r="A208" s="12"/>
      <c r="F208" s="11"/>
    </row>
    <row r="209">
      <c r="A209" s="12"/>
      <c r="F209" s="11"/>
    </row>
    <row r="210">
      <c r="A210" s="12"/>
      <c r="F210" s="11"/>
    </row>
    <row r="211">
      <c r="A211" s="12"/>
      <c r="F211" s="11"/>
    </row>
    <row r="212">
      <c r="A212" s="12"/>
      <c r="F212" s="11"/>
    </row>
    <row r="213">
      <c r="A213" s="12"/>
      <c r="F213" s="11"/>
    </row>
    <row r="214">
      <c r="A214" s="12"/>
      <c r="F214" s="11"/>
    </row>
    <row r="215">
      <c r="A215" s="12"/>
      <c r="F215" s="11"/>
    </row>
    <row r="216">
      <c r="A216" s="12"/>
      <c r="F216" s="11"/>
    </row>
    <row r="217">
      <c r="A217" s="12"/>
      <c r="F217" s="11"/>
    </row>
    <row r="218">
      <c r="A218" s="12"/>
      <c r="F218" s="11"/>
    </row>
    <row r="219">
      <c r="A219" s="12"/>
      <c r="F219" s="11"/>
    </row>
    <row r="220">
      <c r="A220" s="12"/>
      <c r="F220" s="11"/>
    </row>
    <row r="221">
      <c r="A221" s="12"/>
      <c r="F221" s="11"/>
    </row>
    <row r="222">
      <c r="A222" s="12"/>
      <c r="F222" s="11"/>
    </row>
    <row r="223">
      <c r="A223" s="12"/>
      <c r="F223" s="11"/>
    </row>
    <row r="224">
      <c r="A224" s="12"/>
      <c r="F224" s="11"/>
    </row>
    <row r="225">
      <c r="A225" s="12"/>
      <c r="F225" s="11"/>
    </row>
    <row r="226">
      <c r="A226" s="12"/>
      <c r="F226" s="11"/>
    </row>
    <row r="227">
      <c r="A227" s="12"/>
      <c r="F227" s="11"/>
    </row>
    <row r="228">
      <c r="A228" s="12"/>
      <c r="F228" s="11"/>
    </row>
    <row r="229">
      <c r="A229" s="12"/>
      <c r="F229" s="11"/>
    </row>
    <row r="230">
      <c r="A230" s="12"/>
      <c r="F230" s="11"/>
    </row>
    <row r="231">
      <c r="A231" s="12"/>
      <c r="F231" s="11"/>
    </row>
    <row r="232">
      <c r="A232" s="12"/>
      <c r="F232" s="11"/>
    </row>
    <row r="233">
      <c r="A233" s="12"/>
      <c r="F233" s="11"/>
    </row>
    <row r="234">
      <c r="A234" s="12"/>
      <c r="F234" s="11"/>
    </row>
    <row r="235">
      <c r="A235" s="12"/>
      <c r="F235" s="11"/>
    </row>
    <row r="236">
      <c r="A236" s="12"/>
      <c r="F236" s="11"/>
    </row>
    <row r="237">
      <c r="A237" s="12"/>
      <c r="F237" s="11"/>
    </row>
    <row r="238">
      <c r="A238" s="12"/>
      <c r="F238" s="11"/>
    </row>
    <row r="239">
      <c r="A239" s="12"/>
      <c r="F239" s="11"/>
    </row>
    <row r="240">
      <c r="A240" s="12"/>
      <c r="F240" s="11"/>
    </row>
    <row r="241">
      <c r="A241" s="12"/>
      <c r="F241" s="11"/>
    </row>
    <row r="242">
      <c r="A242" s="12"/>
      <c r="F242" s="11"/>
    </row>
    <row r="243">
      <c r="A243" s="12"/>
      <c r="F243" s="11"/>
    </row>
    <row r="244">
      <c r="A244" s="12"/>
      <c r="F244" s="11"/>
    </row>
    <row r="245">
      <c r="A245" s="12"/>
      <c r="F245" s="11"/>
    </row>
    <row r="246">
      <c r="A246" s="12"/>
      <c r="F246" s="11"/>
    </row>
    <row r="247">
      <c r="A247" s="12"/>
      <c r="F247" s="11"/>
    </row>
    <row r="248">
      <c r="A248" s="12"/>
      <c r="F248" s="11"/>
    </row>
    <row r="249">
      <c r="A249" s="12"/>
      <c r="F249" s="11"/>
    </row>
    <row r="250">
      <c r="A250" s="12"/>
      <c r="F250" s="11"/>
    </row>
    <row r="251">
      <c r="A251" s="12"/>
      <c r="F251" s="11"/>
    </row>
    <row r="252">
      <c r="A252" s="12"/>
      <c r="F252" s="11"/>
    </row>
    <row r="253">
      <c r="A253" s="12"/>
      <c r="F253" s="11"/>
    </row>
    <row r="254">
      <c r="A254" s="12"/>
      <c r="F254" s="11"/>
    </row>
    <row r="255">
      <c r="A255" s="12"/>
      <c r="F255" s="11"/>
    </row>
    <row r="256">
      <c r="A256" s="12"/>
      <c r="F256" s="11"/>
    </row>
    <row r="257">
      <c r="A257" s="12"/>
      <c r="F257" s="11"/>
    </row>
    <row r="258">
      <c r="A258" s="12"/>
      <c r="F258" s="11"/>
    </row>
    <row r="259">
      <c r="A259" s="12"/>
      <c r="F259" s="11"/>
    </row>
    <row r="260">
      <c r="A260" s="12"/>
      <c r="F260" s="11"/>
    </row>
    <row r="261">
      <c r="A261" s="12"/>
      <c r="F261" s="11"/>
    </row>
    <row r="262">
      <c r="A262" s="12"/>
      <c r="F262" s="11"/>
    </row>
    <row r="263">
      <c r="A263" s="12"/>
      <c r="F263" s="11"/>
    </row>
    <row r="264">
      <c r="A264" s="12"/>
      <c r="F264" s="11"/>
    </row>
    <row r="265">
      <c r="A265" s="12"/>
      <c r="F265" s="11"/>
    </row>
    <row r="266">
      <c r="A266" s="12"/>
      <c r="F266" s="11"/>
    </row>
    <row r="267">
      <c r="A267" s="12"/>
      <c r="F267" s="11"/>
    </row>
    <row r="268">
      <c r="A268" s="12"/>
      <c r="F268" s="11"/>
    </row>
    <row r="269">
      <c r="A269" s="12"/>
      <c r="F269" s="11"/>
    </row>
    <row r="270">
      <c r="A270" s="12"/>
      <c r="F270" s="11"/>
    </row>
    <row r="271">
      <c r="A271" s="12"/>
      <c r="F271" s="11"/>
    </row>
    <row r="272">
      <c r="A272" s="12"/>
      <c r="F272" s="11"/>
    </row>
    <row r="273">
      <c r="A273" s="12"/>
      <c r="F273" s="11"/>
    </row>
    <row r="274">
      <c r="A274" s="12"/>
      <c r="F274" s="11"/>
    </row>
    <row r="275">
      <c r="A275" s="12"/>
      <c r="F275" s="11"/>
    </row>
    <row r="276">
      <c r="A276" s="12"/>
      <c r="F276" s="11"/>
    </row>
    <row r="277">
      <c r="A277" s="12"/>
      <c r="F277" s="11"/>
    </row>
    <row r="278">
      <c r="A278" s="12"/>
      <c r="F278" s="11"/>
    </row>
    <row r="279">
      <c r="A279" s="12"/>
      <c r="F279" s="11"/>
    </row>
    <row r="280">
      <c r="A280" s="12"/>
      <c r="F280" s="11"/>
    </row>
    <row r="281">
      <c r="A281" s="12"/>
      <c r="F281" s="11"/>
    </row>
    <row r="282">
      <c r="A282" s="12"/>
      <c r="F282" s="11"/>
    </row>
    <row r="283">
      <c r="A283" s="12"/>
      <c r="F283" s="11"/>
    </row>
    <row r="284">
      <c r="A284" s="12"/>
      <c r="F284" s="11"/>
    </row>
    <row r="285">
      <c r="A285" s="12"/>
      <c r="F285" s="11"/>
    </row>
    <row r="286">
      <c r="A286" s="12"/>
      <c r="F286" s="11"/>
    </row>
    <row r="287">
      <c r="A287" s="12"/>
      <c r="F287" s="11"/>
    </row>
    <row r="288">
      <c r="A288" s="12"/>
      <c r="F288" s="11"/>
    </row>
    <row r="289">
      <c r="A289" s="12"/>
      <c r="F289" s="11"/>
    </row>
    <row r="290">
      <c r="A290" s="12"/>
      <c r="F290" s="11"/>
    </row>
    <row r="291">
      <c r="A291" s="12"/>
      <c r="F291" s="11"/>
    </row>
    <row r="292">
      <c r="A292" s="12"/>
      <c r="F292" s="11"/>
    </row>
    <row r="293">
      <c r="A293" s="12"/>
      <c r="F293" s="11"/>
    </row>
    <row r="294">
      <c r="A294" s="12"/>
      <c r="F294" s="11"/>
    </row>
    <row r="295">
      <c r="A295" s="12"/>
      <c r="F295" s="11"/>
    </row>
    <row r="296">
      <c r="A296" s="12"/>
      <c r="F296" s="11"/>
    </row>
    <row r="297">
      <c r="A297" s="12"/>
      <c r="F297" s="11"/>
    </row>
    <row r="298">
      <c r="A298" s="12"/>
      <c r="F298" s="11"/>
    </row>
    <row r="299">
      <c r="A299" s="12"/>
      <c r="F299" s="11"/>
    </row>
    <row r="300">
      <c r="A300" s="12"/>
      <c r="F300" s="11"/>
    </row>
    <row r="301">
      <c r="A301" s="12"/>
      <c r="F301" s="11"/>
    </row>
    <row r="302">
      <c r="A302" s="12"/>
      <c r="F302" s="11"/>
    </row>
    <row r="303">
      <c r="A303" s="12"/>
      <c r="F303" s="11"/>
    </row>
    <row r="304">
      <c r="A304" s="12"/>
      <c r="F304" s="11"/>
    </row>
    <row r="305">
      <c r="A305" s="12"/>
      <c r="F305" s="11"/>
    </row>
    <row r="306">
      <c r="A306" s="12"/>
      <c r="F306" s="11"/>
    </row>
    <row r="307">
      <c r="A307" s="12"/>
      <c r="F307" s="11"/>
    </row>
    <row r="308">
      <c r="A308" s="12"/>
      <c r="F308" s="11"/>
    </row>
    <row r="309">
      <c r="A309" s="12"/>
      <c r="F309" s="11"/>
    </row>
    <row r="310">
      <c r="A310" s="12"/>
      <c r="F310" s="11"/>
    </row>
    <row r="311">
      <c r="A311" s="12"/>
      <c r="F311" s="11"/>
    </row>
    <row r="312">
      <c r="A312" s="12"/>
      <c r="F312" s="11"/>
    </row>
    <row r="313">
      <c r="A313" s="12"/>
      <c r="F313" s="11"/>
    </row>
    <row r="314">
      <c r="A314" s="12"/>
      <c r="F314" s="11"/>
    </row>
    <row r="315">
      <c r="A315" s="12"/>
      <c r="F315" s="11"/>
    </row>
    <row r="316">
      <c r="A316" s="12"/>
      <c r="F316" s="11"/>
    </row>
    <row r="317">
      <c r="A317" s="12"/>
      <c r="F317" s="11"/>
    </row>
    <row r="318">
      <c r="A318" s="12"/>
      <c r="F318" s="11"/>
    </row>
    <row r="319">
      <c r="A319" s="12"/>
      <c r="F319" s="11"/>
    </row>
    <row r="320">
      <c r="A320" s="12"/>
      <c r="F320" s="11"/>
    </row>
    <row r="321">
      <c r="A321" s="12"/>
      <c r="F321" s="11"/>
    </row>
    <row r="322">
      <c r="A322" s="12"/>
      <c r="F322" s="11"/>
    </row>
    <row r="323">
      <c r="A323" s="12"/>
      <c r="F323" s="11"/>
    </row>
    <row r="324">
      <c r="A324" s="12"/>
      <c r="F324" s="11"/>
    </row>
    <row r="325">
      <c r="A325" s="12"/>
      <c r="F325" s="11"/>
    </row>
    <row r="326">
      <c r="A326" s="12"/>
      <c r="F326" s="11"/>
    </row>
    <row r="327">
      <c r="A327" s="12"/>
      <c r="F327" s="11"/>
    </row>
    <row r="328">
      <c r="A328" s="12"/>
      <c r="F328" s="11"/>
    </row>
    <row r="329">
      <c r="A329" s="12"/>
      <c r="F329" s="11"/>
    </row>
    <row r="330">
      <c r="A330" s="12"/>
      <c r="F330" s="11"/>
    </row>
    <row r="331">
      <c r="A331" s="12"/>
      <c r="F331" s="11"/>
    </row>
    <row r="332">
      <c r="A332" s="12"/>
      <c r="F332" s="11"/>
    </row>
    <row r="333">
      <c r="A333" s="12"/>
      <c r="F333" s="11"/>
    </row>
    <row r="334">
      <c r="A334" s="12"/>
      <c r="F334" s="11"/>
    </row>
    <row r="335">
      <c r="A335" s="12"/>
      <c r="F335" s="11"/>
    </row>
    <row r="336">
      <c r="A336" s="12"/>
      <c r="F336" s="11"/>
    </row>
    <row r="337">
      <c r="A337" s="12"/>
      <c r="F337" s="11"/>
    </row>
    <row r="338">
      <c r="A338" s="12"/>
      <c r="F338" s="11"/>
    </row>
    <row r="339">
      <c r="A339" s="12"/>
      <c r="F339" s="11"/>
    </row>
    <row r="340">
      <c r="A340" s="12"/>
      <c r="F340" s="11"/>
    </row>
    <row r="341">
      <c r="A341" s="12"/>
      <c r="F341" s="11"/>
    </row>
    <row r="342">
      <c r="A342" s="12"/>
      <c r="F342" s="11"/>
    </row>
    <row r="343">
      <c r="A343" s="12"/>
      <c r="F343" s="11"/>
    </row>
    <row r="344">
      <c r="A344" s="12"/>
      <c r="F344" s="11"/>
    </row>
    <row r="345">
      <c r="A345" s="12"/>
      <c r="F345" s="11"/>
    </row>
    <row r="346">
      <c r="A346" s="12"/>
      <c r="F346" s="11"/>
    </row>
    <row r="347">
      <c r="A347" s="12"/>
      <c r="F347" s="11"/>
    </row>
    <row r="348">
      <c r="A348" s="12"/>
      <c r="F348" s="11"/>
    </row>
    <row r="349">
      <c r="A349" s="12"/>
      <c r="F349" s="11"/>
    </row>
    <row r="350">
      <c r="A350" s="12"/>
      <c r="F350" s="11"/>
    </row>
    <row r="351">
      <c r="A351" s="12"/>
      <c r="F351" s="11"/>
    </row>
    <row r="352">
      <c r="A352" s="12"/>
      <c r="F352" s="11"/>
    </row>
    <row r="353">
      <c r="A353" s="12"/>
      <c r="F353" s="11"/>
    </row>
    <row r="354">
      <c r="A354" s="12"/>
      <c r="F354" s="11"/>
    </row>
    <row r="355">
      <c r="A355" s="12"/>
      <c r="F355" s="11"/>
    </row>
    <row r="356">
      <c r="A356" s="12"/>
      <c r="F356" s="11"/>
    </row>
    <row r="357">
      <c r="A357" s="12"/>
      <c r="F357" s="11"/>
    </row>
    <row r="358">
      <c r="A358" s="12"/>
      <c r="F358" s="11"/>
    </row>
    <row r="359">
      <c r="A359" s="12"/>
      <c r="F359" s="11"/>
    </row>
    <row r="360">
      <c r="A360" s="12"/>
      <c r="F360" s="11"/>
    </row>
    <row r="361">
      <c r="A361" s="12"/>
      <c r="F361" s="11"/>
    </row>
    <row r="362">
      <c r="A362" s="12"/>
      <c r="F362" s="11"/>
    </row>
    <row r="363">
      <c r="A363" s="12"/>
      <c r="F363" s="11"/>
    </row>
    <row r="364">
      <c r="A364" s="12"/>
      <c r="F364" s="11"/>
    </row>
    <row r="365">
      <c r="A365" s="12"/>
      <c r="F365" s="11"/>
    </row>
    <row r="366">
      <c r="A366" s="12"/>
      <c r="F366" s="11"/>
    </row>
    <row r="367">
      <c r="A367" s="12"/>
      <c r="F367" s="11"/>
    </row>
    <row r="368">
      <c r="A368" s="12"/>
      <c r="F368" s="11"/>
    </row>
    <row r="369">
      <c r="A369" s="12"/>
      <c r="F369" s="11"/>
    </row>
    <row r="370">
      <c r="A370" s="12"/>
      <c r="F370" s="11"/>
    </row>
    <row r="371">
      <c r="A371" s="12"/>
      <c r="F371" s="11"/>
    </row>
    <row r="372">
      <c r="A372" s="12"/>
      <c r="F372" s="11"/>
    </row>
    <row r="373">
      <c r="A373" s="12"/>
      <c r="F373" s="11"/>
    </row>
    <row r="374">
      <c r="A374" s="12"/>
      <c r="F374" s="11"/>
    </row>
    <row r="375">
      <c r="A375" s="12"/>
      <c r="F375" s="11"/>
    </row>
    <row r="376">
      <c r="A376" s="12"/>
      <c r="F376" s="11"/>
    </row>
    <row r="377">
      <c r="A377" s="12"/>
      <c r="F377" s="11"/>
    </row>
    <row r="378">
      <c r="A378" s="12"/>
      <c r="F378" s="11"/>
    </row>
    <row r="379">
      <c r="A379" s="12"/>
      <c r="F379" s="11"/>
    </row>
    <row r="380">
      <c r="A380" s="12"/>
      <c r="F380" s="11"/>
    </row>
    <row r="381">
      <c r="A381" s="12"/>
      <c r="F381" s="11"/>
    </row>
    <row r="382">
      <c r="A382" s="12"/>
      <c r="F382" s="11"/>
    </row>
    <row r="383">
      <c r="A383" s="12"/>
      <c r="F383" s="11"/>
    </row>
    <row r="384">
      <c r="A384" s="12"/>
      <c r="F384" s="11"/>
    </row>
    <row r="385">
      <c r="A385" s="12"/>
      <c r="F385" s="11"/>
    </row>
    <row r="386">
      <c r="A386" s="12"/>
      <c r="F386" s="11"/>
    </row>
    <row r="387">
      <c r="A387" s="12"/>
      <c r="F387" s="11"/>
    </row>
    <row r="388">
      <c r="A388" s="12"/>
      <c r="F388" s="11"/>
    </row>
    <row r="389">
      <c r="A389" s="12"/>
      <c r="F389" s="11"/>
    </row>
    <row r="390">
      <c r="A390" s="12"/>
      <c r="F390" s="11"/>
    </row>
    <row r="391">
      <c r="A391" s="12"/>
      <c r="F391" s="11"/>
    </row>
    <row r="392">
      <c r="A392" s="12"/>
      <c r="F392" s="11"/>
    </row>
    <row r="393">
      <c r="A393" s="12"/>
      <c r="F393" s="11"/>
    </row>
    <row r="394">
      <c r="A394" s="12"/>
      <c r="F394" s="11"/>
    </row>
    <row r="395">
      <c r="A395" s="12"/>
      <c r="F395" s="11"/>
    </row>
    <row r="396">
      <c r="A396" s="12"/>
      <c r="F396" s="11"/>
    </row>
    <row r="397">
      <c r="A397" s="12"/>
      <c r="F397" s="11"/>
    </row>
    <row r="398">
      <c r="A398" s="12"/>
      <c r="F398" s="11"/>
    </row>
    <row r="399">
      <c r="A399" s="12"/>
      <c r="F399" s="11"/>
    </row>
    <row r="400">
      <c r="A400" s="12"/>
      <c r="F400" s="11"/>
    </row>
    <row r="401">
      <c r="A401" s="12"/>
      <c r="F401" s="11"/>
    </row>
    <row r="402">
      <c r="A402" s="12"/>
      <c r="F402" s="11"/>
    </row>
    <row r="403">
      <c r="A403" s="12"/>
      <c r="F403" s="11"/>
    </row>
    <row r="404">
      <c r="A404" s="12"/>
      <c r="F404" s="11"/>
    </row>
    <row r="405">
      <c r="A405" s="12"/>
      <c r="F405" s="11"/>
    </row>
    <row r="406">
      <c r="A406" s="12"/>
      <c r="F406" s="11"/>
    </row>
    <row r="407">
      <c r="A407" s="12"/>
      <c r="F407" s="11"/>
    </row>
    <row r="408">
      <c r="A408" s="12"/>
      <c r="F408" s="11"/>
    </row>
    <row r="409">
      <c r="A409" s="12"/>
      <c r="F409" s="11"/>
    </row>
    <row r="410">
      <c r="A410" s="12"/>
      <c r="F410" s="11"/>
    </row>
    <row r="411">
      <c r="A411" s="12"/>
      <c r="F411" s="11"/>
    </row>
    <row r="412">
      <c r="A412" s="12"/>
      <c r="F412" s="11"/>
    </row>
    <row r="413">
      <c r="A413" s="12"/>
      <c r="F413" s="11"/>
    </row>
    <row r="414">
      <c r="A414" s="12"/>
      <c r="F414" s="11"/>
    </row>
    <row r="415">
      <c r="A415" s="12"/>
      <c r="F415" s="11"/>
    </row>
    <row r="416">
      <c r="A416" s="12"/>
      <c r="F416" s="11"/>
    </row>
    <row r="417">
      <c r="A417" s="12"/>
      <c r="F417" s="11"/>
    </row>
    <row r="418">
      <c r="A418" s="12"/>
      <c r="F418" s="11"/>
    </row>
    <row r="419">
      <c r="A419" s="12"/>
      <c r="F419" s="11"/>
    </row>
    <row r="420">
      <c r="A420" s="12"/>
      <c r="F420" s="11"/>
    </row>
    <row r="421">
      <c r="A421" s="12"/>
      <c r="F421" s="11"/>
    </row>
    <row r="422">
      <c r="A422" s="12"/>
      <c r="F422" s="11"/>
    </row>
    <row r="423">
      <c r="A423" s="12"/>
      <c r="F423" s="11"/>
    </row>
    <row r="424">
      <c r="A424" s="12"/>
      <c r="F424" s="11"/>
    </row>
    <row r="425">
      <c r="A425" s="12"/>
      <c r="F425" s="11"/>
    </row>
    <row r="426">
      <c r="A426" s="12"/>
      <c r="F426" s="11"/>
    </row>
    <row r="427">
      <c r="A427" s="12"/>
      <c r="F427" s="11"/>
    </row>
    <row r="428">
      <c r="A428" s="12"/>
      <c r="F428" s="11"/>
    </row>
    <row r="429">
      <c r="A429" s="12"/>
      <c r="F429" s="11"/>
    </row>
    <row r="430">
      <c r="A430" s="12"/>
      <c r="F430" s="11"/>
    </row>
    <row r="431">
      <c r="A431" s="12"/>
      <c r="F431" s="11"/>
    </row>
    <row r="432">
      <c r="A432" s="12"/>
      <c r="F432" s="11"/>
    </row>
    <row r="433">
      <c r="A433" s="12"/>
      <c r="F433" s="11"/>
    </row>
    <row r="434">
      <c r="A434" s="12"/>
      <c r="F434" s="11"/>
    </row>
    <row r="435">
      <c r="A435" s="12"/>
      <c r="F435" s="11"/>
    </row>
    <row r="436">
      <c r="A436" s="12"/>
      <c r="F436" s="11"/>
    </row>
    <row r="437">
      <c r="A437" s="12"/>
      <c r="F437" s="11"/>
    </row>
    <row r="438">
      <c r="A438" s="12"/>
      <c r="F438" s="11"/>
    </row>
    <row r="439">
      <c r="A439" s="12"/>
      <c r="F439" s="11"/>
    </row>
    <row r="440">
      <c r="A440" s="12"/>
      <c r="F440" s="11"/>
    </row>
    <row r="441">
      <c r="A441" s="12"/>
      <c r="F441" s="11"/>
    </row>
    <row r="442">
      <c r="A442" s="12"/>
      <c r="F442" s="11"/>
    </row>
    <row r="443">
      <c r="A443" s="12"/>
      <c r="F443" s="11"/>
    </row>
    <row r="444">
      <c r="A444" s="12"/>
      <c r="F444" s="11"/>
    </row>
    <row r="445">
      <c r="A445" s="12"/>
      <c r="F445" s="11"/>
    </row>
    <row r="446">
      <c r="A446" s="12"/>
      <c r="F446" s="11"/>
    </row>
    <row r="447">
      <c r="A447" s="12"/>
      <c r="F447" s="11"/>
    </row>
    <row r="448">
      <c r="A448" s="12"/>
      <c r="F448" s="11"/>
    </row>
    <row r="449">
      <c r="A449" s="12"/>
      <c r="F449" s="11"/>
    </row>
    <row r="450">
      <c r="A450" s="12"/>
      <c r="F450" s="11"/>
    </row>
    <row r="451">
      <c r="A451" s="12"/>
      <c r="F451" s="11"/>
    </row>
    <row r="452">
      <c r="A452" s="12"/>
      <c r="F452" s="11"/>
    </row>
    <row r="453">
      <c r="A453" s="12"/>
      <c r="F453" s="11"/>
    </row>
    <row r="454">
      <c r="A454" s="12"/>
      <c r="F454" s="11"/>
    </row>
    <row r="455">
      <c r="A455" s="12"/>
      <c r="F455" s="11"/>
    </row>
    <row r="456">
      <c r="A456" s="12"/>
      <c r="F456" s="11"/>
    </row>
    <row r="457">
      <c r="A457" s="12"/>
      <c r="F457" s="11"/>
    </row>
    <row r="458">
      <c r="A458" s="12"/>
      <c r="F458" s="11"/>
    </row>
    <row r="459">
      <c r="A459" s="12"/>
      <c r="F459" s="11"/>
    </row>
    <row r="460">
      <c r="A460" s="12"/>
      <c r="F460" s="11"/>
    </row>
    <row r="461">
      <c r="A461" s="12"/>
      <c r="F461" s="11"/>
    </row>
    <row r="462">
      <c r="A462" s="12"/>
      <c r="F462" s="11"/>
    </row>
    <row r="463">
      <c r="A463" s="12"/>
      <c r="F463" s="11"/>
    </row>
    <row r="464">
      <c r="A464" s="12"/>
      <c r="F464" s="11"/>
    </row>
    <row r="465">
      <c r="A465" s="12"/>
      <c r="F465" s="11"/>
    </row>
    <row r="466">
      <c r="A466" s="12"/>
      <c r="F466" s="11"/>
    </row>
    <row r="467">
      <c r="A467" s="12"/>
      <c r="F467" s="11"/>
    </row>
    <row r="468">
      <c r="A468" s="12"/>
      <c r="F468" s="11"/>
    </row>
    <row r="469">
      <c r="A469" s="12"/>
      <c r="F469" s="11"/>
    </row>
    <row r="470">
      <c r="A470" s="12"/>
      <c r="F470" s="11"/>
    </row>
    <row r="471">
      <c r="A471" s="12"/>
      <c r="F471" s="11"/>
    </row>
    <row r="472">
      <c r="A472" s="12"/>
      <c r="F472" s="11"/>
    </row>
    <row r="473">
      <c r="A473" s="12"/>
      <c r="F473" s="11"/>
    </row>
    <row r="474">
      <c r="A474" s="12"/>
      <c r="F474" s="11"/>
    </row>
    <row r="475">
      <c r="A475" s="12"/>
      <c r="F475" s="11"/>
    </row>
    <row r="476">
      <c r="A476" s="12"/>
      <c r="F476" s="11"/>
    </row>
    <row r="477">
      <c r="A477" s="12"/>
      <c r="F477" s="11"/>
    </row>
    <row r="478">
      <c r="A478" s="12"/>
      <c r="F478" s="11"/>
    </row>
    <row r="479">
      <c r="A479" s="12"/>
      <c r="F479" s="11"/>
    </row>
    <row r="480">
      <c r="A480" s="12"/>
      <c r="F480" s="11"/>
    </row>
    <row r="481">
      <c r="A481" s="12"/>
      <c r="F481" s="11"/>
    </row>
    <row r="482">
      <c r="A482" s="12"/>
      <c r="F482" s="11"/>
    </row>
    <row r="483">
      <c r="A483" s="12"/>
      <c r="F483" s="11"/>
    </row>
    <row r="484">
      <c r="A484" s="12"/>
      <c r="F484" s="11"/>
    </row>
    <row r="485">
      <c r="A485" s="12"/>
      <c r="F485" s="11"/>
    </row>
    <row r="486">
      <c r="A486" s="12"/>
      <c r="F486" s="11"/>
    </row>
    <row r="487">
      <c r="A487" s="12"/>
      <c r="F487" s="11"/>
    </row>
    <row r="488">
      <c r="A488" s="12"/>
      <c r="F488" s="11"/>
    </row>
    <row r="489">
      <c r="A489" s="12"/>
      <c r="F489" s="11"/>
    </row>
    <row r="490">
      <c r="A490" s="12"/>
      <c r="F490" s="11"/>
    </row>
    <row r="491">
      <c r="A491" s="12"/>
      <c r="F491" s="11"/>
    </row>
    <row r="492">
      <c r="A492" s="12"/>
      <c r="F492" s="11"/>
    </row>
    <row r="493">
      <c r="A493" s="12"/>
      <c r="F493" s="11"/>
    </row>
    <row r="494">
      <c r="A494" s="12"/>
      <c r="F494" s="11"/>
    </row>
    <row r="495">
      <c r="A495" s="12"/>
      <c r="F495" s="11"/>
    </row>
    <row r="496">
      <c r="A496" s="12"/>
      <c r="F496" s="11"/>
    </row>
    <row r="497">
      <c r="A497" s="12"/>
      <c r="F497" s="11"/>
    </row>
    <row r="498">
      <c r="A498" s="12"/>
      <c r="F498" s="11"/>
    </row>
    <row r="499">
      <c r="A499" s="12"/>
      <c r="F499" s="11"/>
    </row>
    <row r="500">
      <c r="A500" s="12"/>
      <c r="F500" s="11"/>
    </row>
    <row r="501">
      <c r="A501" s="12"/>
      <c r="F501" s="11"/>
    </row>
    <row r="502">
      <c r="A502" s="12"/>
      <c r="F502" s="11"/>
    </row>
    <row r="503">
      <c r="A503" s="12"/>
      <c r="F503" s="11"/>
    </row>
    <row r="504">
      <c r="A504" s="12"/>
      <c r="F504" s="11"/>
    </row>
    <row r="505">
      <c r="A505" s="12"/>
      <c r="F505" s="11"/>
    </row>
    <row r="506">
      <c r="A506" s="12"/>
      <c r="F506" s="11"/>
    </row>
    <row r="507">
      <c r="A507" s="12"/>
      <c r="F507" s="11"/>
    </row>
    <row r="508">
      <c r="A508" s="12"/>
      <c r="F508" s="11"/>
    </row>
    <row r="509">
      <c r="A509" s="12"/>
      <c r="F509" s="11"/>
    </row>
    <row r="510">
      <c r="A510" s="12"/>
      <c r="F510" s="11"/>
    </row>
    <row r="511">
      <c r="A511" s="12"/>
      <c r="F511" s="11"/>
    </row>
    <row r="512">
      <c r="A512" s="12"/>
      <c r="F512" s="11"/>
    </row>
    <row r="513">
      <c r="A513" s="12"/>
      <c r="F513" s="11"/>
    </row>
    <row r="514">
      <c r="A514" s="12"/>
      <c r="F514" s="11"/>
    </row>
    <row r="515">
      <c r="A515" s="12"/>
      <c r="F515" s="11"/>
    </row>
    <row r="516">
      <c r="A516" s="12"/>
      <c r="F516" s="11"/>
    </row>
    <row r="517">
      <c r="A517" s="12"/>
      <c r="F517" s="11"/>
    </row>
    <row r="518">
      <c r="A518" s="12"/>
      <c r="F518" s="11"/>
    </row>
    <row r="519">
      <c r="A519" s="12"/>
      <c r="F519" s="11"/>
    </row>
    <row r="520">
      <c r="A520" s="12"/>
      <c r="F520" s="11"/>
    </row>
    <row r="521">
      <c r="A521" s="12"/>
      <c r="F521" s="11"/>
    </row>
    <row r="522">
      <c r="A522" s="12"/>
      <c r="F522" s="11"/>
    </row>
    <row r="523">
      <c r="A523" s="12"/>
      <c r="F523" s="11"/>
    </row>
    <row r="524">
      <c r="A524" s="12"/>
      <c r="F524" s="11"/>
    </row>
    <row r="525">
      <c r="A525" s="12"/>
      <c r="F525" s="11"/>
    </row>
    <row r="526">
      <c r="A526" s="12"/>
      <c r="F526" s="11"/>
    </row>
    <row r="527">
      <c r="A527" s="12"/>
      <c r="F527" s="11"/>
    </row>
    <row r="528">
      <c r="A528" s="12"/>
      <c r="F528" s="11"/>
    </row>
    <row r="529">
      <c r="A529" s="12"/>
      <c r="F529" s="11"/>
    </row>
    <row r="530">
      <c r="A530" s="12"/>
      <c r="F530" s="11"/>
    </row>
    <row r="531">
      <c r="A531" s="12"/>
      <c r="F531" s="11"/>
    </row>
    <row r="532">
      <c r="A532" s="12"/>
      <c r="F532" s="11"/>
    </row>
    <row r="533">
      <c r="A533" s="12"/>
      <c r="F533" s="11"/>
    </row>
    <row r="534">
      <c r="A534" s="12"/>
      <c r="F534" s="11"/>
    </row>
    <row r="535">
      <c r="A535" s="12"/>
      <c r="F535" s="11"/>
    </row>
    <row r="536">
      <c r="A536" s="12"/>
      <c r="F536" s="11"/>
    </row>
    <row r="537">
      <c r="A537" s="12"/>
      <c r="F537" s="11"/>
    </row>
    <row r="538">
      <c r="A538" s="12"/>
      <c r="F538" s="11"/>
    </row>
    <row r="539">
      <c r="A539" s="12"/>
      <c r="F539" s="11"/>
    </row>
    <row r="540">
      <c r="A540" s="12"/>
      <c r="F540" s="11"/>
    </row>
    <row r="541">
      <c r="A541" s="12"/>
      <c r="F541" s="11"/>
    </row>
    <row r="542">
      <c r="A542" s="12"/>
      <c r="F542" s="11"/>
    </row>
    <row r="543">
      <c r="A543" s="12"/>
      <c r="F543" s="11"/>
    </row>
    <row r="544">
      <c r="A544" s="12"/>
      <c r="F544" s="11"/>
    </row>
    <row r="545">
      <c r="A545" s="12"/>
      <c r="F545" s="11"/>
    </row>
    <row r="546">
      <c r="A546" s="12"/>
      <c r="F546" s="11"/>
    </row>
    <row r="547">
      <c r="A547" s="12"/>
      <c r="F547" s="11"/>
    </row>
    <row r="548">
      <c r="A548" s="12"/>
      <c r="F548" s="11"/>
    </row>
    <row r="549">
      <c r="A549" s="12"/>
      <c r="F549" s="11"/>
    </row>
    <row r="550">
      <c r="A550" s="12"/>
      <c r="F550" s="11"/>
    </row>
    <row r="551">
      <c r="A551" s="12"/>
      <c r="F551" s="11"/>
    </row>
    <row r="552">
      <c r="A552" s="12"/>
      <c r="F552" s="11"/>
    </row>
    <row r="553">
      <c r="A553" s="12"/>
      <c r="F553" s="11"/>
    </row>
    <row r="554">
      <c r="A554" s="12"/>
      <c r="F554" s="11"/>
    </row>
    <row r="555">
      <c r="A555" s="12"/>
      <c r="F555" s="11"/>
    </row>
    <row r="556">
      <c r="A556" s="12"/>
      <c r="F556" s="11"/>
    </row>
    <row r="557">
      <c r="A557" s="12"/>
      <c r="F557" s="11"/>
    </row>
    <row r="558">
      <c r="A558" s="12"/>
      <c r="F558" s="11"/>
    </row>
    <row r="559">
      <c r="A559" s="12"/>
      <c r="F559" s="11"/>
    </row>
    <row r="560">
      <c r="A560" s="12"/>
      <c r="F560" s="11"/>
    </row>
    <row r="561">
      <c r="A561" s="12"/>
      <c r="F561" s="11"/>
    </row>
    <row r="562">
      <c r="A562" s="12"/>
      <c r="F562" s="11"/>
    </row>
    <row r="563">
      <c r="A563" s="12"/>
      <c r="F563" s="11"/>
    </row>
    <row r="564">
      <c r="A564" s="12"/>
      <c r="F564" s="11"/>
    </row>
    <row r="565">
      <c r="A565" s="12"/>
      <c r="F565" s="11"/>
    </row>
    <row r="566">
      <c r="A566" s="12"/>
      <c r="F566" s="11"/>
    </row>
    <row r="567">
      <c r="A567" s="12"/>
      <c r="F567" s="11"/>
    </row>
    <row r="568">
      <c r="A568" s="12"/>
      <c r="F568" s="11"/>
    </row>
    <row r="569">
      <c r="A569" s="12"/>
      <c r="F569" s="11"/>
    </row>
    <row r="570">
      <c r="A570" s="12"/>
      <c r="F570" s="11"/>
    </row>
    <row r="571">
      <c r="A571" s="12"/>
      <c r="F571" s="11"/>
    </row>
    <row r="572">
      <c r="A572" s="12"/>
      <c r="F572" s="11"/>
    </row>
    <row r="573">
      <c r="A573" s="12"/>
      <c r="F573" s="11"/>
    </row>
    <row r="574">
      <c r="A574" s="12"/>
      <c r="F574" s="11"/>
    </row>
    <row r="575">
      <c r="A575" s="12"/>
      <c r="F575" s="11"/>
    </row>
    <row r="576">
      <c r="A576" s="12"/>
      <c r="F576" s="11"/>
    </row>
    <row r="577">
      <c r="A577" s="12"/>
      <c r="F577" s="11"/>
    </row>
    <row r="578">
      <c r="A578" s="12"/>
      <c r="F578" s="11"/>
    </row>
    <row r="579">
      <c r="A579" s="12"/>
      <c r="F579" s="11"/>
    </row>
    <row r="580">
      <c r="A580" s="12"/>
      <c r="F580" s="11"/>
    </row>
    <row r="581">
      <c r="A581" s="12"/>
      <c r="F581" s="11"/>
    </row>
    <row r="582">
      <c r="A582" s="12"/>
      <c r="F582" s="11"/>
    </row>
    <row r="583">
      <c r="A583" s="12"/>
      <c r="F583" s="11"/>
    </row>
    <row r="584">
      <c r="A584" s="12"/>
      <c r="F584" s="11"/>
    </row>
    <row r="585">
      <c r="A585" s="12"/>
      <c r="F585" s="11"/>
    </row>
    <row r="586">
      <c r="A586" s="12"/>
      <c r="F586" s="11"/>
    </row>
    <row r="587">
      <c r="A587" s="12"/>
      <c r="F587" s="11"/>
    </row>
    <row r="588">
      <c r="A588" s="12"/>
      <c r="F588" s="11"/>
    </row>
    <row r="589">
      <c r="A589" s="12"/>
      <c r="F589" s="11"/>
    </row>
    <row r="590">
      <c r="A590" s="12"/>
      <c r="F590" s="11"/>
    </row>
    <row r="591">
      <c r="A591" s="12"/>
      <c r="F591" s="11"/>
    </row>
    <row r="592">
      <c r="A592" s="12"/>
      <c r="F592" s="11"/>
    </row>
    <row r="593">
      <c r="A593" s="12"/>
      <c r="F593" s="11"/>
    </row>
    <row r="594">
      <c r="A594" s="12"/>
      <c r="F594" s="11"/>
    </row>
    <row r="595">
      <c r="A595" s="12"/>
      <c r="F595" s="11"/>
    </row>
    <row r="596">
      <c r="A596" s="12"/>
      <c r="F596" s="11"/>
    </row>
    <row r="597">
      <c r="A597" s="12"/>
      <c r="F597" s="11"/>
    </row>
    <row r="598">
      <c r="A598" s="12"/>
      <c r="F598" s="11"/>
    </row>
    <row r="599">
      <c r="A599" s="12"/>
      <c r="F599" s="11"/>
    </row>
    <row r="600">
      <c r="A600" s="12"/>
      <c r="F600" s="11"/>
    </row>
    <row r="601">
      <c r="A601" s="12"/>
      <c r="F601" s="11"/>
    </row>
    <row r="602">
      <c r="A602" s="12"/>
      <c r="F602" s="11"/>
    </row>
    <row r="603">
      <c r="A603" s="12"/>
      <c r="F603" s="11"/>
    </row>
    <row r="604">
      <c r="A604" s="12"/>
      <c r="F604" s="11"/>
    </row>
    <row r="605">
      <c r="A605" s="12"/>
      <c r="F605" s="11"/>
    </row>
    <row r="606">
      <c r="A606" s="12"/>
      <c r="F606" s="11"/>
    </row>
    <row r="607">
      <c r="A607" s="12"/>
      <c r="F607" s="11"/>
    </row>
    <row r="608">
      <c r="A608" s="12"/>
      <c r="F608" s="11"/>
    </row>
    <row r="609">
      <c r="A609" s="12"/>
      <c r="F609" s="11"/>
    </row>
    <row r="610">
      <c r="A610" s="12"/>
      <c r="F610" s="11"/>
    </row>
    <row r="611">
      <c r="A611" s="12"/>
      <c r="F611" s="11"/>
    </row>
    <row r="612">
      <c r="A612" s="12"/>
      <c r="F612" s="11"/>
    </row>
    <row r="613">
      <c r="A613" s="12"/>
      <c r="F613" s="11"/>
    </row>
    <row r="614">
      <c r="A614" s="12"/>
      <c r="F614" s="11"/>
    </row>
    <row r="615">
      <c r="A615" s="12"/>
      <c r="F615" s="11"/>
    </row>
    <row r="616">
      <c r="A616" s="12"/>
      <c r="F616" s="11"/>
    </row>
    <row r="617">
      <c r="A617" s="12"/>
      <c r="F617" s="11"/>
    </row>
    <row r="618">
      <c r="A618" s="12"/>
      <c r="F618" s="11"/>
    </row>
    <row r="619">
      <c r="A619" s="12"/>
      <c r="F619" s="11"/>
    </row>
    <row r="620">
      <c r="A620" s="12"/>
      <c r="F620" s="11"/>
    </row>
    <row r="621">
      <c r="A621" s="12"/>
      <c r="F621" s="11"/>
    </row>
    <row r="622">
      <c r="A622" s="12"/>
      <c r="F622" s="11"/>
    </row>
    <row r="623">
      <c r="A623" s="12"/>
      <c r="F623" s="11"/>
    </row>
    <row r="624">
      <c r="A624" s="12"/>
      <c r="F624" s="11"/>
    </row>
    <row r="625">
      <c r="A625" s="12"/>
      <c r="F625" s="11"/>
    </row>
    <row r="626">
      <c r="A626" s="12"/>
      <c r="F626" s="11"/>
    </row>
    <row r="627">
      <c r="A627" s="12"/>
      <c r="F627" s="11"/>
    </row>
    <row r="628">
      <c r="A628" s="12"/>
      <c r="F628" s="11"/>
    </row>
    <row r="629">
      <c r="A629" s="12"/>
      <c r="F629" s="11"/>
    </row>
    <row r="630">
      <c r="A630" s="12"/>
      <c r="F630" s="11"/>
    </row>
    <row r="631">
      <c r="A631" s="12"/>
      <c r="F631" s="11"/>
    </row>
    <row r="632">
      <c r="A632" s="12"/>
      <c r="F632" s="11"/>
    </row>
    <row r="633">
      <c r="A633" s="12"/>
      <c r="F633" s="11"/>
    </row>
    <row r="634">
      <c r="A634" s="12"/>
      <c r="F634" s="11"/>
    </row>
    <row r="635">
      <c r="A635" s="12"/>
      <c r="F635" s="11"/>
    </row>
    <row r="636">
      <c r="A636" s="12"/>
      <c r="F636" s="11"/>
    </row>
    <row r="637">
      <c r="A637" s="12"/>
      <c r="F637" s="11"/>
    </row>
    <row r="638">
      <c r="A638" s="12"/>
      <c r="F638" s="11"/>
    </row>
    <row r="639">
      <c r="A639" s="12"/>
      <c r="F639" s="11"/>
    </row>
    <row r="640">
      <c r="A640" s="12"/>
      <c r="F640" s="11"/>
    </row>
    <row r="641">
      <c r="A641" s="12"/>
      <c r="F641" s="11"/>
    </row>
    <row r="642">
      <c r="A642" s="12"/>
      <c r="F642" s="11"/>
    </row>
    <row r="643">
      <c r="A643" s="12"/>
      <c r="F643" s="11"/>
    </row>
    <row r="644">
      <c r="A644" s="12"/>
      <c r="F644" s="11"/>
    </row>
    <row r="645">
      <c r="A645" s="12"/>
      <c r="F645" s="11"/>
    </row>
    <row r="646">
      <c r="A646" s="12"/>
      <c r="F646" s="11"/>
    </row>
    <row r="647">
      <c r="A647" s="12"/>
      <c r="F647" s="11"/>
    </row>
    <row r="648">
      <c r="A648" s="12"/>
      <c r="F648" s="11"/>
    </row>
    <row r="649">
      <c r="A649" s="12"/>
      <c r="F649" s="11"/>
    </row>
    <row r="650">
      <c r="A650" s="12"/>
      <c r="F650" s="11"/>
    </row>
    <row r="651">
      <c r="A651" s="12"/>
      <c r="F651" s="11"/>
    </row>
    <row r="652">
      <c r="A652" s="12"/>
      <c r="F652" s="11"/>
    </row>
    <row r="653">
      <c r="A653" s="12"/>
      <c r="F653" s="11"/>
    </row>
    <row r="654">
      <c r="A654" s="12"/>
      <c r="F654" s="11"/>
    </row>
    <row r="655">
      <c r="A655" s="12"/>
      <c r="F655" s="11"/>
    </row>
    <row r="656">
      <c r="A656" s="12"/>
      <c r="F656" s="11"/>
    </row>
    <row r="657">
      <c r="A657" s="12"/>
      <c r="F657" s="11"/>
    </row>
    <row r="658">
      <c r="A658" s="12"/>
      <c r="F658" s="11"/>
    </row>
    <row r="659">
      <c r="A659" s="12"/>
      <c r="F659" s="11"/>
    </row>
    <row r="660">
      <c r="A660" s="12"/>
      <c r="F660" s="11"/>
    </row>
    <row r="661">
      <c r="A661" s="12"/>
      <c r="F661" s="11"/>
    </row>
    <row r="662">
      <c r="A662" s="12"/>
      <c r="F662" s="11"/>
    </row>
    <row r="663">
      <c r="A663" s="12"/>
      <c r="F663" s="11"/>
    </row>
    <row r="664">
      <c r="A664" s="12"/>
      <c r="F664" s="11"/>
    </row>
    <row r="665">
      <c r="A665" s="12"/>
      <c r="F665" s="11"/>
    </row>
    <row r="666">
      <c r="A666" s="12"/>
      <c r="F666" s="11"/>
    </row>
    <row r="667">
      <c r="A667" s="12"/>
      <c r="F667" s="11"/>
    </row>
    <row r="668">
      <c r="A668" s="12"/>
      <c r="F668" s="11"/>
    </row>
    <row r="669">
      <c r="A669" s="12"/>
      <c r="F669" s="11"/>
    </row>
    <row r="670">
      <c r="A670" s="12"/>
      <c r="F670" s="11"/>
    </row>
    <row r="671">
      <c r="A671" s="12"/>
      <c r="F671" s="11"/>
    </row>
    <row r="672">
      <c r="A672" s="12"/>
      <c r="F672" s="11"/>
    </row>
    <row r="673">
      <c r="A673" s="12"/>
      <c r="F673" s="11"/>
    </row>
    <row r="674">
      <c r="A674" s="12"/>
      <c r="F674" s="11"/>
    </row>
    <row r="675">
      <c r="A675" s="12"/>
      <c r="F675" s="11"/>
    </row>
    <row r="676">
      <c r="A676" s="12"/>
      <c r="F676" s="11"/>
    </row>
    <row r="677">
      <c r="A677" s="12"/>
      <c r="F677" s="11"/>
    </row>
    <row r="678">
      <c r="A678" s="12"/>
      <c r="F678" s="11"/>
    </row>
    <row r="679">
      <c r="A679" s="12"/>
      <c r="F679" s="11"/>
    </row>
    <row r="680">
      <c r="A680" s="12"/>
      <c r="F680" s="11"/>
    </row>
    <row r="681">
      <c r="A681" s="12"/>
      <c r="F681" s="11"/>
    </row>
    <row r="682">
      <c r="A682" s="12"/>
      <c r="F682" s="11"/>
    </row>
    <row r="683">
      <c r="A683" s="12"/>
      <c r="F683" s="11"/>
    </row>
    <row r="684">
      <c r="A684" s="12"/>
      <c r="F684" s="11"/>
    </row>
    <row r="685">
      <c r="A685" s="12"/>
      <c r="F685" s="11"/>
    </row>
    <row r="686">
      <c r="A686" s="12"/>
      <c r="F686" s="11"/>
    </row>
    <row r="687">
      <c r="A687" s="12"/>
      <c r="F687" s="11"/>
    </row>
    <row r="688">
      <c r="A688" s="12"/>
      <c r="F688" s="11"/>
    </row>
    <row r="689">
      <c r="A689" s="12"/>
      <c r="F689" s="11"/>
    </row>
    <row r="690">
      <c r="A690" s="12"/>
      <c r="F690" s="11"/>
    </row>
    <row r="691">
      <c r="A691" s="12"/>
      <c r="F691" s="11"/>
    </row>
    <row r="692">
      <c r="A692" s="12"/>
      <c r="F692" s="11"/>
    </row>
    <row r="693">
      <c r="A693" s="12"/>
      <c r="F693" s="11"/>
    </row>
    <row r="694">
      <c r="A694" s="12"/>
      <c r="F694" s="11"/>
    </row>
    <row r="695">
      <c r="A695" s="12"/>
      <c r="F695" s="11"/>
    </row>
    <row r="696">
      <c r="A696" s="12"/>
      <c r="F696" s="11"/>
    </row>
    <row r="697">
      <c r="A697" s="12"/>
      <c r="F697" s="11"/>
    </row>
    <row r="698">
      <c r="A698" s="12"/>
      <c r="F698" s="11"/>
    </row>
    <row r="699">
      <c r="A699" s="12"/>
      <c r="F699" s="11"/>
    </row>
    <row r="700">
      <c r="A700" s="12"/>
      <c r="F700" s="11"/>
    </row>
    <row r="701">
      <c r="A701" s="12"/>
      <c r="F701" s="11"/>
    </row>
    <row r="702">
      <c r="A702" s="12"/>
      <c r="F702" s="11"/>
    </row>
    <row r="703">
      <c r="A703" s="12"/>
      <c r="F703" s="11"/>
    </row>
    <row r="704">
      <c r="A704" s="12"/>
      <c r="F704" s="11"/>
    </row>
    <row r="705">
      <c r="A705" s="12"/>
      <c r="F705" s="11"/>
    </row>
    <row r="706">
      <c r="A706" s="12"/>
      <c r="F706" s="11"/>
    </row>
    <row r="707">
      <c r="A707" s="12"/>
      <c r="F707" s="11"/>
    </row>
    <row r="708">
      <c r="A708" s="12"/>
      <c r="F708" s="11"/>
    </row>
    <row r="709">
      <c r="A709" s="12"/>
      <c r="F709" s="11"/>
    </row>
    <row r="710">
      <c r="A710" s="12"/>
      <c r="F710" s="11"/>
    </row>
    <row r="711">
      <c r="A711" s="12"/>
      <c r="F711" s="11"/>
    </row>
    <row r="712">
      <c r="A712" s="12"/>
      <c r="F712" s="11"/>
    </row>
    <row r="713">
      <c r="A713" s="12"/>
      <c r="F713" s="11"/>
    </row>
    <row r="714">
      <c r="A714" s="12"/>
      <c r="F714" s="11"/>
    </row>
    <row r="715">
      <c r="A715" s="12"/>
      <c r="F715" s="11"/>
    </row>
    <row r="716">
      <c r="A716" s="12"/>
      <c r="F716" s="11"/>
    </row>
    <row r="717">
      <c r="A717" s="12"/>
      <c r="F717" s="11"/>
    </row>
    <row r="718">
      <c r="A718" s="12"/>
      <c r="F718" s="11"/>
    </row>
    <row r="719">
      <c r="A719" s="12"/>
      <c r="F719" s="11"/>
    </row>
    <row r="720">
      <c r="A720" s="12"/>
      <c r="F720" s="11"/>
    </row>
    <row r="721">
      <c r="A721" s="12"/>
      <c r="F721" s="11"/>
    </row>
    <row r="722">
      <c r="A722" s="12"/>
      <c r="F722" s="11"/>
    </row>
    <row r="723">
      <c r="A723" s="12"/>
      <c r="F723" s="11"/>
    </row>
    <row r="724">
      <c r="A724" s="12"/>
      <c r="F724" s="11"/>
    </row>
    <row r="725">
      <c r="A725" s="12"/>
      <c r="F725" s="11"/>
    </row>
    <row r="726">
      <c r="A726" s="12"/>
      <c r="F726" s="11"/>
    </row>
    <row r="727">
      <c r="A727" s="12"/>
      <c r="F727" s="11"/>
    </row>
    <row r="728">
      <c r="A728" s="12"/>
      <c r="F728" s="11"/>
    </row>
    <row r="729">
      <c r="A729" s="12"/>
      <c r="F729" s="11"/>
    </row>
    <row r="730">
      <c r="A730" s="12"/>
      <c r="F730" s="11"/>
    </row>
    <row r="731">
      <c r="A731" s="12"/>
      <c r="F731" s="11"/>
    </row>
    <row r="732">
      <c r="A732" s="12"/>
      <c r="F732" s="11"/>
    </row>
    <row r="733">
      <c r="A733" s="12"/>
      <c r="F733" s="11"/>
    </row>
    <row r="734">
      <c r="A734" s="12"/>
      <c r="F734" s="11"/>
    </row>
    <row r="735">
      <c r="A735" s="12"/>
      <c r="F735" s="11"/>
    </row>
    <row r="736">
      <c r="A736" s="12"/>
      <c r="F736" s="11"/>
    </row>
    <row r="737">
      <c r="A737" s="12"/>
      <c r="F737" s="11"/>
    </row>
    <row r="738">
      <c r="A738" s="12"/>
      <c r="F738" s="11"/>
    </row>
    <row r="739">
      <c r="A739" s="12"/>
      <c r="F739" s="11"/>
    </row>
    <row r="740">
      <c r="A740" s="12"/>
      <c r="F740" s="11"/>
    </row>
    <row r="741">
      <c r="A741" s="12"/>
      <c r="F741" s="11"/>
    </row>
    <row r="742">
      <c r="A742" s="12"/>
      <c r="F742" s="11"/>
    </row>
    <row r="743">
      <c r="A743" s="12"/>
      <c r="F743" s="11"/>
    </row>
    <row r="744">
      <c r="A744" s="12"/>
      <c r="F744" s="11"/>
    </row>
    <row r="745">
      <c r="A745" s="12"/>
      <c r="F745" s="11"/>
    </row>
    <row r="746">
      <c r="A746" s="12"/>
      <c r="F746" s="11"/>
    </row>
    <row r="747">
      <c r="A747" s="12"/>
      <c r="F747" s="11"/>
    </row>
    <row r="748">
      <c r="A748" s="12"/>
      <c r="F748" s="11"/>
    </row>
    <row r="749">
      <c r="A749" s="12"/>
      <c r="F749" s="11"/>
    </row>
    <row r="750">
      <c r="A750" s="12"/>
      <c r="F750" s="11"/>
    </row>
    <row r="751">
      <c r="A751" s="12"/>
      <c r="F751" s="11"/>
    </row>
    <row r="752">
      <c r="A752" s="12"/>
      <c r="F752" s="11"/>
    </row>
    <row r="753">
      <c r="A753" s="12"/>
      <c r="F753" s="11"/>
    </row>
    <row r="754">
      <c r="A754" s="12"/>
      <c r="F754" s="11"/>
    </row>
    <row r="755">
      <c r="A755" s="12"/>
      <c r="F755" s="11"/>
    </row>
    <row r="756">
      <c r="A756" s="12"/>
      <c r="F756" s="11"/>
    </row>
    <row r="757">
      <c r="A757" s="12"/>
      <c r="F757" s="11"/>
    </row>
    <row r="758">
      <c r="A758" s="12"/>
      <c r="F758" s="11"/>
    </row>
    <row r="759">
      <c r="A759" s="12"/>
      <c r="F759" s="11"/>
    </row>
    <row r="760">
      <c r="A760" s="12"/>
      <c r="F760" s="11"/>
    </row>
    <row r="761">
      <c r="A761" s="12"/>
      <c r="F761" s="11"/>
    </row>
    <row r="762">
      <c r="A762" s="12"/>
      <c r="F762" s="11"/>
    </row>
    <row r="763">
      <c r="A763" s="12"/>
      <c r="F763" s="11"/>
    </row>
    <row r="764">
      <c r="A764" s="12"/>
      <c r="F764" s="11"/>
    </row>
    <row r="765">
      <c r="A765" s="12"/>
      <c r="F765" s="11"/>
    </row>
    <row r="766">
      <c r="A766" s="12"/>
      <c r="F766" s="11"/>
    </row>
    <row r="767">
      <c r="A767" s="12"/>
      <c r="F767" s="11"/>
    </row>
    <row r="768">
      <c r="A768" s="12"/>
      <c r="F768" s="11"/>
    </row>
    <row r="769">
      <c r="A769" s="12"/>
      <c r="F769" s="11"/>
    </row>
    <row r="770">
      <c r="A770" s="12"/>
      <c r="F770" s="11"/>
    </row>
    <row r="771">
      <c r="A771" s="12"/>
      <c r="F771" s="11"/>
    </row>
    <row r="772">
      <c r="A772" s="12"/>
      <c r="F772" s="11"/>
    </row>
    <row r="773">
      <c r="A773" s="12"/>
      <c r="F773" s="11"/>
    </row>
    <row r="774">
      <c r="A774" s="12"/>
      <c r="F774" s="11"/>
    </row>
    <row r="775">
      <c r="A775" s="12"/>
      <c r="F775" s="11"/>
    </row>
    <row r="776">
      <c r="A776" s="12"/>
      <c r="F776" s="11"/>
    </row>
    <row r="777">
      <c r="A777" s="12"/>
      <c r="F777" s="11"/>
    </row>
    <row r="778">
      <c r="A778" s="12"/>
      <c r="F778" s="11"/>
    </row>
    <row r="779">
      <c r="A779" s="12"/>
      <c r="F779" s="11"/>
    </row>
    <row r="780">
      <c r="A780" s="12"/>
      <c r="F780" s="11"/>
    </row>
    <row r="781">
      <c r="A781" s="12"/>
      <c r="F781" s="11"/>
    </row>
    <row r="782">
      <c r="A782" s="12"/>
      <c r="F782" s="11"/>
    </row>
    <row r="783">
      <c r="A783" s="12"/>
      <c r="F783" s="11"/>
    </row>
    <row r="784">
      <c r="A784" s="12"/>
      <c r="F784" s="11"/>
    </row>
    <row r="785">
      <c r="A785" s="12"/>
      <c r="F785" s="11"/>
    </row>
    <row r="786">
      <c r="A786" s="12"/>
      <c r="F786" s="11"/>
    </row>
    <row r="787">
      <c r="A787" s="12"/>
      <c r="F787" s="11"/>
    </row>
    <row r="788">
      <c r="A788" s="12"/>
      <c r="F788" s="11"/>
    </row>
    <row r="789">
      <c r="A789" s="12"/>
      <c r="F789" s="11"/>
    </row>
    <row r="790">
      <c r="A790" s="12"/>
      <c r="F790" s="11"/>
    </row>
    <row r="791">
      <c r="A791" s="12"/>
      <c r="F791" s="11"/>
    </row>
    <row r="792">
      <c r="A792" s="12"/>
      <c r="F792" s="11"/>
    </row>
    <row r="793">
      <c r="A793" s="12"/>
      <c r="F793" s="11"/>
    </row>
    <row r="794">
      <c r="A794" s="12"/>
      <c r="F794" s="11"/>
    </row>
    <row r="795">
      <c r="A795" s="12"/>
      <c r="F795" s="11"/>
    </row>
    <row r="796">
      <c r="A796" s="12"/>
      <c r="F796" s="11"/>
    </row>
    <row r="797">
      <c r="A797" s="12"/>
      <c r="F797" s="11"/>
    </row>
    <row r="798">
      <c r="A798" s="12"/>
      <c r="F798" s="11"/>
    </row>
    <row r="799">
      <c r="A799" s="12"/>
      <c r="F799" s="11"/>
    </row>
    <row r="800">
      <c r="A800" s="12"/>
      <c r="F800" s="11"/>
    </row>
    <row r="801">
      <c r="A801" s="12"/>
      <c r="F801" s="11"/>
    </row>
    <row r="802">
      <c r="A802" s="12"/>
      <c r="F802" s="11"/>
    </row>
    <row r="803">
      <c r="A803" s="12"/>
      <c r="F803" s="11"/>
    </row>
    <row r="804">
      <c r="A804" s="12"/>
      <c r="F804" s="11"/>
    </row>
    <row r="805">
      <c r="A805" s="12"/>
      <c r="F805" s="11"/>
    </row>
    <row r="806">
      <c r="A806" s="12"/>
      <c r="F806" s="11"/>
    </row>
    <row r="807">
      <c r="A807" s="12"/>
      <c r="F807" s="11"/>
    </row>
    <row r="808">
      <c r="A808" s="12"/>
      <c r="F808" s="11"/>
    </row>
    <row r="809">
      <c r="A809" s="12"/>
      <c r="F809" s="11"/>
    </row>
    <row r="810">
      <c r="A810" s="12"/>
      <c r="F810" s="11"/>
    </row>
    <row r="811">
      <c r="A811" s="12"/>
      <c r="F811" s="11"/>
    </row>
    <row r="812">
      <c r="A812" s="12"/>
      <c r="F812" s="11"/>
    </row>
    <row r="813">
      <c r="A813" s="12"/>
      <c r="F813" s="11"/>
    </row>
    <row r="814">
      <c r="A814" s="12"/>
      <c r="F814" s="11"/>
    </row>
    <row r="815">
      <c r="A815" s="12"/>
      <c r="F815" s="11"/>
    </row>
    <row r="816">
      <c r="A816" s="12"/>
      <c r="F816" s="11"/>
    </row>
    <row r="817">
      <c r="A817" s="12"/>
      <c r="F817" s="11"/>
    </row>
    <row r="818">
      <c r="A818" s="12"/>
      <c r="F818" s="11"/>
    </row>
    <row r="819">
      <c r="A819" s="12"/>
      <c r="F819" s="11"/>
    </row>
    <row r="820">
      <c r="A820" s="12"/>
      <c r="F820" s="11"/>
    </row>
    <row r="821">
      <c r="A821" s="12"/>
      <c r="F821" s="11"/>
    </row>
    <row r="822">
      <c r="A822" s="12"/>
      <c r="F822" s="11"/>
    </row>
    <row r="823">
      <c r="A823" s="12"/>
      <c r="F823" s="11"/>
    </row>
    <row r="824">
      <c r="A824" s="12"/>
      <c r="F824" s="11"/>
    </row>
    <row r="825">
      <c r="A825" s="12"/>
      <c r="F825" s="11"/>
    </row>
    <row r="826">
      <c r="A826" s="12"/>
      <c r="F826" s="11"/>
    </row>
    <row r="827">
      <c r="A827" s="12"/>
      <c r="F827" s="11"/>
    </row>
    <row r="828">
      <c r="A828" s="12"/>
      <c r="F828" s="11"/>
    </row>
    <row r="829">
      <c r="A829" s="12"/>
      <c r="F829" s="11"/>
    </row>
    <row r="830">
      <c r="A830" s="12"/>
      <c r="F830" s="11"/>
    </row>
    <row r="831">
      <c r="A831" s="12"/>
      <c r="F831" s="11"/>
    </row>
    <row r="832">
      <c r="A832" s="12"/>
      <c r="F832" s="11"/>
    </row>
    <row r="833">
      <c r="A833" s="12"/>
      <c r="F833" s="11"/>
    </row>
    <row r="834">
      <c r="A834" s="12"/>
      <c r="F834" s="11"/>
    </row>
    <row r="835">
      <c r="A835" s="12"/>
      <c r="F835" s="11"/>
    </row>
    <row r="836">
      <c r="A836" s="12"/>
      <c r="F836" s="11"/>
    </row>
    <row r="837">
      <c r="A837" s="12"/>
      <c r="F837" s="11"/>
    </row>
    <row r="838">
      <c r="A838" s="12"/>
      <c r="F838" s="11"/>
    </row>
    <row r="839">
      <c r="A839" s="12"/>
      <c r="F839" s="11"/>
    </row>
    <row r="840">
      <c r="A840" s="12"/>
      <c r="F840" s="11"/>
    </row>
    <row r="841">
      <c r="A841" s="12"/>
      <c r="F841" s="11"/>
    </row>
    <row r="842">
      <c r="A842" s="12"/>
      <c r="F842" s="11"/>
    </row>
    <row r="843">
      <c r="A843" s="12"/>
      <c r="F843" s="11"/>
    </row>
    <row r="844">
      <c r="A844" s="12"/>
      <c r="F844" s="11"/>
    </row>
    <row r="845">
      <c r="A845" s="12"/>
      <c r="F845" s="11"/>
    </row>
    <row r="846">
      <c r="A846" s="12"/>
      <c r="F846" s="11"/>
    </row>
    <row r="847">
      <c r="A847" s="12"/>
      <c r="F847" s="11"/>
    </row>
    <row r="848">
      <c r="A848" s="12"/>
      <c r="F848" s="11"/>
    </row>
    <row r="849">
      <c r="A849" s="12"/>
      <c r="F849" s="11"/>
    </row>
    <row r="850">
      <c r="A850" s="12"/>
      <c r="F850" s="11"/>
    </row>
    <row r="851">
      <c r="A851" s="12"/>
      <c r="F851" s="11"/>
    </row>
    <row r="852">
      <c r="A852" s="12"/>
      <c r="F852" s="11"/>
    </row>
    <row r="853">
      <c r="A853" s="12"/>
      <c r="F853" s="11"/>
    </row>
    <row r="854">
      <c r="A854" s="12"/>
      <c r="F854" s="11"/>
    </row>
    <row r="855">
      <c r="A855" s="12"/>
      <c r="F855" s="11"/>
    </row>
    <row r="856">
      <c r="A856" s="12"/>
      <c r="F856" s="11"/>
    </row>
    <row r="857">
      <c r="A857" s="12"/>
      <c r="F857" s="11"/>
    </row>
    <row r="858">
      <c r="A858" s="12"/>
      <c r="F858" s="11"/>
    </row>
    <row r="859">
      <c r="A859" s="12"/>
      <c r="F859" s="11"/>
    </row>
    <row r="860">
      <c r="A860" s="12"/>
      <c r="F860" s="11"/>
    </row>
    <row r="861">
      <c r="A861" s="12"/>
      <c r="F861" s="11"/>
    </row>
    <row r="862">
      <c r="A862" s="12"/>
      <c r="F862" s="11"/>
    </row>
    <row r="863">
      <c r="A863" s="12"/>
      <c r="F863" s="11"/>
    </row>
    <row r="864">
      <c r="A864" s="12"/>
      <c r="F864" s="11"/>
    </row>
    <row r="865">
      <c r="A865" s="12"/>
      <c r="F865" s="11"/>
    </row>
    <row r="866">
      <c r="A866" s="12"/>
      <c r="F866" s="11"/>
    </row>
    <row r="867">
      <c r="A867" s="12"/>
      <c r="F867" s="11"/>
    </row>
    <row r="868">
      <c r="A868" s="12"/>
      <c r="F868" s="11"/>
    </row>
    <row r="869">
      <c r="A869" s="12"/>
      <c r="F869" s="11"/>
    </row>
    <row r="870">
      <c r="A870" s="12"/>
      <c r="F870" s="11"/>
    </row>
    <row r="871">
      <c r="A871" s="12"/>
      <c r="F871" s="11"/>
    </row>
    <row r="872">
      <c r="A872" s="12"/>
      <c r="F872" s="11"/>
    </row>
    <row r="873">
      <c r="A873" s="12"/>
      <c r="F873" s="11"/>
    </row>
    <row r="874">
      <c r="A874" s="12"/>
      <c r="F874" s="11"/>
    </row>
    <row r="875">
      <c r="A875" s="12"/>
      <c r="F875" s="11"/>
    </row>
    <row r="876">
      <c r="A876" s="12"/>
      <c r="F876" s="11"/>
    </row>
    <row r="877">
      <c r="A877" s="12"/>
      <c r="F877" s="11"/>
    </row>
    <row r="878">
      <c r="A878" s="12"/>
      <c r="F878" s="11"/>
    </row>
    <row r="879">
      <c r="A879" s="12"/>
      <c r="F879" s="11"/>
    </row>
    <row r="880">
      <c r="A880" s="12"/>
      <c r="F880" s="11"/>
    </row>
    <row r="881">
      <c r="A881" s="12"/>
      <c r="F881" s="11"/>
    </row>
    <row r="882">
      <c r="A882" s="12"/>
      <c r="F882" s="11"/>
    </row>
    <row r="883">
      <c r="A883" s="12"/>
      <c r="F883" s="11"/>
    </row>
    <row r="884">
      <c r="A884" s="12"/>
      <c r="F884" s="11"/>
    </row>
    <row r="885">
      <c r="A885" s="12"/>
      <c r="F885" s="11"/>
    </row>
    <row r="886">
      <c r="A886" s="12"/>
      <c r="F886" s="11"/>
    </row>
    <row r="887">
      <c r="A887" s="12"/>
      <c r="F887" s="11"/>
    </row>
    <row r="888">
      <c r="A888" s="12"/>
      <c r="F888" s="11"/>
    </row>
    <row r="889">
      <c r="A889" s="12"/>
      <c r="F889" s="11"/>
    </row>
    <row r="890">
      <c r="A890" s="12"/>
      <c r="F890" s="11"/>
    </row>
    <row r="891">
      <c r="A891" s="12"/>
      <c r="F891" s="11"/>
    </row>
    <row r="892">
      <c r="A892" s="12"/>
      <c r="F892" s="11"/>
    </row>
    <row r="893">
      <c r="A893" s="12"/>
      <c r="F893" s="11"/>
    </row>
    <row r="894">
      <c r="A894" s="12"/>
      <c r="F894" s="11"/>
    </row>
    <row r="895">
      <c r="A895" s="12"/>
      <c r="F895" s="11"/>
    </row>
    <row r="896">
      <c r="A896" s="12"/>
      <c r="F896" s="11"/>
    </row>
    <row r="897">
      <c r="A897" s="12"/>
      <c r="F897" s="11"/>
    </row>
    <row r="898">
      <c r="A898" s="12"/>
      <c r="F898" s="11"/>
    </row>
    <row r="899">
      <c r="A899" s="12"/>
      <c r="F899" s="11"/>
    </row>
    <row r="900">
      <c r="A900" s="12"/>
      <c r="F900" s="11"/>
    </row>
    <row r="901">
      <c r="A901" s="12"/>
      <c r="F901" s="11"/>
    </row>
    <row r="902">
      <c r="A902" s="12"/>
      <c r="F902" s="11"/>
    </row>
    <row r="903">
      <c r="A903" s="12"/>
      <c r="F903" s="11"/>
    </row>
    <row r="904">
      <c r="A904" s="12"/>
      <c r="F904" s="11"/>
    </row>
    <row r="905">
      <c r="A905" s="12"/>
      <c r="F905" s="11"/>
    </row>
    <row r="906">
      <c r="A906" s="12"/>
      <c r="F906" s="11"/>
    </row>
    <row r="907">
      <c r="A907" s="12"/>
      <c r="F907" s="11"/>
    </row>
    <row r="908">
      <c r="A908" s="12"/>
      <c r="F908" s="11"/>
    </row>
    <row r="909">
      <c r="A909" s="12"/>
      <c r="F909" s="11"/>
    </row>
    <row r="910">
      <c r="A910" s="12"/>
      <c r="F910" s="11"/>
    </row>
    <row r="911">
      <c r="A911" s="12"/>
      <c r="F911" s="11"/>
    </row>
    <row r="912">
      <c r="A912" s="12"/>
      <c r="F912" s="11"/>
    </row>
    <row r="913">
      <c r="A913" s="12"/>
      <c r="F913" s="11"/>
    </row>
    <row r="914">
      <c r="A914" s="12"/>
      <c r="F914" s="11"/>
    </row>
    <row r="915">
      <c r="A915" s="12"/>
      <c r="F915" s="11"/>
    </row>
    <row r="916">
      <c r="A916" s="12"/>
      <c r="F916" s="11"/>
    </row>
    <row r="917">
      <c r="A917" s="12"/>
      <c r="F917" s="11"/>
    </row>
    <row r="918">
      <c r="A918" s="12"/>
      <c r="F918" s="11"/>
    </row>
    <row r="919">
      <c r="A919" s="12"/>
      <c r="F919" s="11"/>
    </row>
    <row r="920">
      <c r="A920" s="12"/>
      <c r="F920" s="11"/>
    </row>
    <row r="921">
      <c r="A921" s="12"/>
      <c r="F921" s="11"/>
    </row>
    <row r="922">
      <c r="A922" s="12"/>
      <c r="F922" s="11"/>
    </row>
    <row r="923">
      <c r="A923" s="12"/>
      <c r="F923" s="11"/>
    </row>
    <row r="924">
      <c r="A924" s="12"/>
      <c r="F924" s="11"/>
    </row>
    <row r="925">
      <c r="A925" s="12"/>
      <c r="F925" s="11"/>
    </row>
    <row r="926">
      <c r="A926" s="12"/>
      <c r="F926" s="11"/>
    </row>
    <row r="927">
      <c r="A927" s="12"/>
      <c r="F927" s="11"/>
    </row>
    <row r="928">
      <c r="A928" s="12"/>
      <c r="F928" s="11"/>
    </row>
    <row r="929">
      <c r="A929" s="12"/>
      <c r="F929" s="11"/>
    </row>
    <row r="930">
      <c r="A930" s="12"/>
      <c r="F930" s="11"/>
    </row>
    <row r="931">
      <c r="A931" s="12"/>
      <c r="F931" s="11"/>
    </row>
    <row r="932">
      <c r="A932" s="12"/>
      <c r="F932" s="11"/>
    </row>
    <row r="933">
      <c r="A933" s="12"/>
      <c r="F933" s="11"/>
    </row>
    <row r="934">
      <c r="A934" s="12"/>
      <c r="F934" s="11"/>
    </row>
    <row r="935">
      <c r="A935" s="12"/>
      <c r="F935" s="11"/>
    </row>
    <row r="936">
      <c r="A936" s="12"/>
      <c r="F936" s="11"/>
    </row>
    <row r="937">
      <c r="A937" s="12"/>
      <c r="F937" s="11"/>
    </row>
    <row r="938">
      <c r="A938" s="12"/>
      <c r="F938" s="11"/>
    </row>
    <row r="939">
      <c r="A939" s="12"/>
      <c r="F939" s="11"/>
    </row>
    <row r="940">
      <c r="A940" s="12"/>
      <c r="F940" s="11"/>
    </row>
    <row r="941">
      <c r="A941" s="12"/>
      <c r="F941" s="11"/>
    </row>
    <row r="942">
      <c r="A942" s="12"/>
      <c r="F942" s="11"/>
    </row>
    <row r="943">
      <c r="A943" s="12"/>
      <c r="F943" s="11"/>
    </row>
    <row r="944">
      <c r="A944" s="12"/>
      <c r="F944" s="11"/>
    </row>
    <row r="945">
      <c r="A945" s="12"/>
      <c r="F945" s="11"/>
    </row>
    <row r="946">
      <c r="A946" s="12"/>
      <c r="F946" s="11"/>
    </row>
    <row r="947">
      <c r="A947" s="12"/>
      <c r="F947" s="11"/>
    </row>
    <row r="948">
      <c r="A948" s="12"/>
      <c r="F948" s="11"/>
    </row>
    <row r="949">
      <c r="A949" s="12"/>
      <c r="F949" s="11"/>
    </row>
    <row r="950">
      <c r="A950" s="12"/>
      <c r="F950" s="11"/>
    </row>
    <row r="951">
      <c r="A951" s="12"/>
      <c r="F951" s="11"/>
    </row>
    <row r="952">
      <c r="A952" s="12"/>
      <c r="F952" s="11"/>
    </row>
    <row r="953">
      <c r="A953" s="12"/>
      <c r="F953" s="11"/>
    </row>
    <row r="954">
      <c r="A954" s="12"/>
      <c r="F954" s="11"/>
    </row>
    <row r="955">
      <c r="A955" s="12"/>
      <c r="F955" s="11"/>
    </row>
    <row r="956">
      <c r="A956" s="12"/>
      <c r="F956" s="11"/>
    </row>
    <row r="957">
      <c r="A957" s="12"/>
      <c r="F957" s="11"/>
    </row>
    <row r="958">
      <c r="A958" s="12"/>
      <c r="F958" s="11"/>
    </row>
    <row r="959">
      <c r="A959" s="12"/>
      <c r="F959" s="11"/>
    </row>
    <row r="960">
      <c r="A960" s="12"/>
      <c r="F960" s="11"/>
    </row>
    <row r="961">
      <c r="A961" s="12"/>
      <c r="F961" s="11"/>
    </row>
    <row r="962">
      <c r="A962" s="12"/>
      <c r="F962" s="11"/>
    </row>
    <row r="963">
      <c r="A963" s="12"/>
      <c r="F963" s="11"/>
    </row>
    <row r="964">
      <c r="A964" s="12"/>
      <c r="F964" s="11"/>
    </row>
    <row r="965">
      <c r="A965" s="12"/>
      <c r="F965" s="11"/>
    </row>
    <row r="966">
      <c r="A966" s="12"/>
      <c r="F966" s="11"/>
    </row>
    <row r="967">
      <c r="A967" s="12"/>
      <c r="F967" s="11"/>
    </row>
    <row r="968">
      <c r="A968" s="12"/>
      <c r="F968" s="11"/>
    </row>
    <row r="969">
      <c r="A969" s="12"/>
      <c r="F969" s="11"/>
    </row>
    <row r="970">
      <c r="A970" s="12"/>
      <c r="F970" s="11"/>
    </row>
    <row r="971">
      <c r="A971" s="12"/>
      <c r="F971" s="11"/>
    </row>
    <row r="972">
      <c r="A972" s="12"/>
      <c r="F972" s="11"/>
    </row>
    <row r="973">
      <c r="A973" s="12"/>
      <c r="F973" s="11"/>
    </row>
    <row r="974">
      <c r="A974" s="12"/>
      <c r="F974" s="11"/>
    </row>
    <row r="975">
      <c r="A975" s="12"/>
      <c r="F975" s="11"/>
    </row>
    <row r="976">
      <c r="A976" s="12"/>
      <c r="F976" s="11"/>
    </row>
    <row r="977">
      <c r="A977" s="12"/>
      <c r="F977" s="11"/>
    </row>
    <row r="978">
      <c r="A978" s="12"/>
      <c r="F978" s="11"/>
    </row>
    <row r="979">
      <c r="A979" s="12"/>
      <c r="F979" s="11"/>
    </row>
    <row r="980">
      <c r="A980" s="12"/>
      <c r="F980" s="11"/>
    </row>
    <row r="981">
      <c r="A981" s="12"/>
      <c r="F981" s="11"/>
    </row>
    <row r="982">
      <c r="A982" s="12"/>
      <c r="F982" s="11"/>
    </row>
    <row r="983">
      <c r="A983" s="12"/>
      <c r="F983" s="11"/>
    </row>
    <row r="984">
      <c r="A984" s="12"/>
      <c r="F984" s="11"/>
    </row>
    <row r="985">
      <c r="A985" s="12"/>
      <c r="F985" s="11"/>
    </row>
    <row r="986">
      <c r="A986" s="12"/>
      <c r="F986" s="11"/>
    </row>
    <row r="987">
      <c r="A987" s="12"/>
      <c r="F987" s="11"/>
    </row>
    <row r="988">
      <c r="A988" s="12"/>
      <c r="F988" s="11"/>
    </row>
    <row r="989">
      <c r="A989" s="12"/>
      <c r="F989" s="11"/>
    </row>
    <row r="990">
      <c r="A990" s="12"/>
      <c r="F990" s="11"/>
    </row>
    <row r="991">
      <c r="A991" s="12"/>
      <c r="F991" s="11"/>
    </row>
    <row r="992">
      <c r="A992" s="12"/>
      <c r="F992" s="11"/>
    </row>
    <row r="993">
      <c r="A993" s="12"/>
      <c r="F993" s="11"/>
    </row>
    <row r="994">
      <c r="A994" s="12"/>
      <c r="F994" s="11"/>
    </row>
    <row r="995">
      <c r="A995" s="12"/>
      <c r="F995" s="11"/>
    </row>
    <row r="996">
      <c r="A996" s="12"/>
      <c r="F996" s="11"/>
    </row>
  </sheetData>
  <hyperlinks>
    <hyperlink r:id="rId1" ref="L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11" max="12" width="18.88"/>
  </cols>
  <sheetData>
    <row r="1">
      <c r="A1" s="15" t="s">
        <v>0</v>
      </c>
      <c r="B1" s="16" t="s">
        <v>65</v>
      </c>
      <c r="C1" s="17" t="s">
        <v>66</v>
      </c>
      <c r="E1" s="18" t="s">
        <v>0</v>
      </c>
      <c r="F1" s="19" t="s">
        <v>65</v>
      </c>
      <c r="G1" s="20" t="s">
        <v>67</v>
      </c>
      <c r="I1" s="21" t="s">
        <v>0</v>
      </c>
      <c r="J1" s="22" t="s">
        <v>68</v>
      </c>
      <c r="K1" s="23" t="s">
        <v>69</v>
      </c>
      <c r="L1" s="24"/>
    </row>
    <row r="2">
      <c r="A2" s="6" t="s">
        <v>9</v>
      </c>
      <c r="B2" s="7">
        <v>405.55</v>
      </c>
      <c r="C2" s="25">
        <f t="shared" ref="C2:C54" si="1">B2/B3-1</f>
        <v>0.007552607389</v>
      </c>
      <c r="E2" s="6" t="s">
        <v>9</v>
      </c>
      <c r="F2" s="7">
        <v>56.63</v>
      </c>
      <c r="G2" s="25">
        <f t="shared" ref="G2:G54" si="2">F2/F3-1</f>
        <v>-0.08321191517</v>
      </c>
      <c r="I2" s="6" t="s">
        <v>9</v>
      </c>
      <c r="J2" s="26">
        <v>6740.02</v>
      </c>
      <c r="K2" s="27">
        <f t="shared" ref="K2:K53" si="3">J2/J3-1</f>
        <v>-0.0201864257</v>
      </c>
      <c r="L2" s="9"/>
    </row>
    <row r="3">
      <c r="A3" s="6" t="s">
        <v>10</v>
      </c>
      <c r="B3" s="7">
        <v>402.51</v>
      </c>
      <c r="C3" s="25">
        <f t="shared" si="1"/>
        <v>-0.02260696421</v>
      </c>
      <c r="E3" s="6" t="s">
        <v>10</v>
      </c>
      <c r="F3" s="7">
        <v>61.77</v>
      </c>
      <c r="G3" s="25">
        <f t="shared" si="2"/>
        <v>-0.04925350162</v>
      </c>
      <c r="I3" s="6" t="s">
        <v>10</v>
      </c>
      <c r="J3" s="26">
        <v>6878.88</v>
      </c>
      <c r="K3" s="27">
        <f t="shared" si="3"/>
        <v>-0.004433020576</v>
      </c>
      <c r="L3" s="9"/>
    </row>
    <row r="4">
      <c r="A4" s="6" t="s">
        <v>11</v>
      </c>
      <c r="B4" s="7">
        <v>411.82</v>
      </c>
      <c r="C4" s="25">
        <f t="shared" si="1"/>
        <v>-0.01346301265</v>
      </c>
      <c r="E4" s="6" t="s">
        <v>11</v>
      </c>
      <c r="F4" s="7">
        <v>64.97</v>
      </c>
      <c r="G4" s="25">
        <f t="shared" si="2"/>
        <v>0.03603890926</v>
      </c>
      <c r="I4" s="6" t="s">
        <v>11</v>
      </c>
      <c r="J4" s="26">
        <v>6909.51</v>
      </c>
      <c r="K4" s="27">
        <f t="shared" si="3"/>
        <v>0.0107282294</v>
      </c>
      <c r="L4" s="9"/>
    </row>
    <row r="5">
      <c r="A5" s="6" t="s">
        <v>12</v>
      </c>
      <c r="B5" s="7">
        <v>417.44</v>
      </c>
      <c r="C5" s="25">
        <f t="shared" si="1"/>
        <v>0.01539733891</v>
      </c>
      <c r="E5" s="6" t="s">
        <v>12</v>
      </c>
      <c r="F5" s="7">
        <v>62.71</v>
      </c>
      <c r="G5" s="25">
        <f t="shared" si="2"/>
        <v>-0.01244094488</v>
      </c>
      <c r="I5" s="6" t="s">
        <v>12</v>
      </c>
      <c r="J5" s="26">
        <v>6836.17</v>
      </c>
      <c r="K5" s="27">
        <f t="shared" si="3"/>
        <v>-0.01386697056</v>
      </c>
      <c r="L5" s="9"/>
    </row>
    <row r="6">
      <c r="A6" s="6" t="s">
        <v>13</v>
      </c>
      <c r="B6" s="7">
        <v>411.11</v>
      </c>
      <c r="C6" s="25">
        <f t="shared" si="1"/>
        <v>-0.04484096559</v>
      </c>
      <c r="E6" s="6" t="s">
        <v>13</v>
      </c>
      <c r="F6" s="7">
        <v>63.5</v>
      </c>
      <c r="G6" s="25">
        <f t="shared" si="2"/>
        <v>0.0342019544</v>
      </c>
      <c r="I6" s="6" t="s">
        <v>13</v>
      </c>
      <c r="J6" s="26">
        <v>6932.3</v>
      </c>
      <c r="K6" s="27">
        <f t="shared" si="3"/>
        <v>-0.0009698761931</v>
      </c>
      <c r="L6" s="9"/>
    </row>
    <row r="7">
      <c r="A7" s="6" t="s">
        <v>14</v>
      </c>
      <c r="B7" s="7">
        <v>430.41</v>
      </c>
      <c r="C7" s="25">
        <f t="shared" si="1"/>
        <v>-0.0415311985</v>
      </c>
      <c r="E7" s="6" t="s">
        <v>14</v>
      </c>
      <c r="F7" s="7">
        <v>61.4</v>
      </c>
      <c r="G7" s="25">
        <f t="shared" si="2"/>
        <v>-0.04968271165</v>
      </c>
      <c r="I7" s="6" t="s">
        <v>14</v>
      </c>
      <c r="J7" s="26">
        <v>6939.03</v>
      </c>
      <c r="K7" s="27">
        <f t="shared" si="3"/>
        <v>0.003386541462</v>
      </c>
      <c r="L7" s="9"/>
    </row>
    <row r="8">
      <c r="A8" s="6" t="s">
        <v>15</v>
      </c>
      <c r="B8" s="7">
        <v>449.06</v>
      </c>
      <c r="C8" s="25">
        <f t="shared" si="1"/>
        <v>0.02642285714</v>
      </c>
      <c r="E8" s="6" t="s">
        <v>15</v>
      </c>
      <c r="F8" s="7">
        <v>64.61</v>
      </c>
      <c r="G8" s="25">
        <f t="shared" si="2"/>
        <v>0.01016260163</v>
      </c>
      <c r="I8" s="6" t="s">
        <v>15</v>
      </c>
      <c r="J8" s="26">
        <v>6915.61</v>
      </c>
      <c r="K8" s="27">
        <f t="shared" si="3"/>
        <v>-0.003515845078</v>
      </c>
      <c r="L8" s="9"/>
    </row>
    <row r="9">
      <c r="A9" s="6" t="s">
        <v>16</v>
      </c>
      <c r="B9" s="7">
        <v>437.5</v>
      </c>
      <c r="C9" s="25">
        <f t="shared" si="1"/>
        <v>-0.01687602526</v>
      </c>
      <c r="E9" s="6" t="s">
        <v>16</v>
      </c>
      <c r="F9" s="7">
        <v>63.96</v>
      </c>
      <c r="G9" s="25">
        <f t="shared" si="2"/>
        <v>-0.0233623454</v>
      </c>
      <c r="I9" s="6" t="s">
        <v>16</v>
      </c>
      <c r="J9" s="26">
        <v>6940.01</v>
      </c>
      <c r="K9" s="27">
        <f t="shared" si="3"/>
        <v>-0.003771022698</v>
      </c>
      <c r="L9" s="9"/>
    </row>
    <row r="10">
      <c r="A10" s="6" t="s">
        <v>17</v>
      </c>
      <c r="B10" s="7">
        <v>445.01</v>
      </c>
      <c r="C10" s="25">
        <f t="shared" si="1"/>
        <v>0.015842217</v>
      </c>
      <c r="E10" s="6" t="s">
        <v>17</v>
      </c>
      <c r="F10" s="7">
        <v>65.49</v>
      </c>
      <c r="G10" s="25">
        <f t="shared" si="2"/>
        <v>0.04183900732</v>
      </c>
      <c r="I10" s="6" t="s">
        <v>17</v>
      </c>
      <c r="J10" s="26">
        <v>6966.28</v>
      </c>
      <c r="K10" s="27">
        <f t="shared" si="3"/>
        <v>0.01571924934</v>
      </c>
      <c r="L10" s="9"/>
    </row>
    <row r="11">
      <c r="A11" s="6" t="s">
        <v>18</v>
      </c>
      <c r="B11" s="7">
        <v>438.07</v>
      </c>
      <c r="C11" s="25">
        <f t="shared" si="1"/>
        <v>-0.07811612197</v>
      </c>
      <c r="E11" s="6" t="s">
        <v>18</v>
      </c>
      <c r="F11" s="7">
        <v>62.86</v>
      </c>
      <c r="G11" s="25">
        <f t="shared" si="2"/>
        <v>0.0384933091</v>
      </c>
      <c r="I11" s="6" t="s">
        <v>18</v>
      </c>
      <c r="J11" s="26">
        <v>6858.47</v>
      </c>
      <c r="K11" s="27">
        <f t="shared" si="3"/>
        <v>-0.01031322061</v>
      </c>
      <c r="L11" s="9"/>
    </row>
    <row r="12">
      <c r="A12" s="6" t="s">
        <v>19</v>
      </c>
      <c r="B12" s="7">
        <v>475.19</v>
      </c>
      <c r="C12" s="25">
        <f t="shared" si="1"/>
        <v>-0.01248960931</v>
      </c>
      <c r="E12" s="6" t="s">
        <v>19</v>
      </c>
      <c r="F12" s="7">
        <v>60.53</v>
      </c>
      <c r="G12" s="25">
        <f t="shared" si="2"/>
        <v>0.03789437586</v>
      </c>
      <c r="I12" s="6" t="s">
        <v>19</v>
      </c>
      <c r="J12" s="26">
        <v>6929.94</v>
      </c>
      <c r="K12" s="27">
        <f t="shared" si="3"/>
        <v>0.01396444509</v>
      </c>
      <c r="L12" s="9"/>
    </row>
    <row r="13">
      <c r="A13" s="6" t="s">
        <v>20</v>
      </c>
      <c r="B13" s="7">
        <v>481.2</v>
      </c>
      <c r="C13" s="25">
        <f t="shared" si="1"/>
        <v>0.04845738191</v>
      </c>
      <c r="E13" s="6" t="s">
        <v>20</v>
      </c>
      <c r="F13" s="7">
        <v>58.32</v>
      </c>
      <c r="G13" s="25">
        <f t="shared" si="2"/>
        <v>-0.1299418171</v>
      </c>
      <c r="I13" s="6" t="s">
        <v>20</v>
      </c>
      <c r="J13" s="26">
        <v>6834.5</v>
      </c>
      <c r="K13" s="27">
        <f t="shared" si="3"/>
        <v>0.001038461144</v>
      </c>
      <c r="L13" s="9"/>
    </row>
    <row r="14">
      <c r="A14" s="6" t="s">
        <v>21</v>
      </c>
      <c r="B14" s="7">
        <v>458.96</v>
      </c>
      <c r="C14" s="25">
        <f t="shared" si="1"/>
        <v>0.008703296703</v>
      </c>
      <c r="E14" s="6" t="s">
        <v>21</v>
      </c>
      <c r="F14" s="7">
        <v>67.03</v>
      </c>
      <c r="G14" s="25">
        <f t="shared" si="2"/>
        <v>0.03107214275</v>
      </c>
      <c r="I14" s="6" t="s">
        <v>21</v>
      </c>
      <c r="J14" s="26">
        <v>6827.41</v>
      </c>
      <c r="K14" s="27">
        <f t="shared" si="3"/>
        <v>-0.006257277597</v>
      </c>
      <c r="L14" s="9"/>
    </row>
    <row r="15">
      <c r="A15" s="6" t="s">
        <v>22</v>
      </c>
      <c r="B15" s="7">
        <v>455.0</v>
      </c>
      <c r="C15" s="25">
        <f t="shared" si="1"/>
        <v>0.05772136597</v>
      </c>
      <c r="E15" s="6" t="s">
        <v>22</v>
      </c>
      <c r="F15" s="7">
        <v>65.01</v>
      </c>
      <c r="G15" s="25">
        <f t="shared" si="2"/>
        <v>0.01896551724</v>
      </c>
      <c r="I15" s="6" t="s">
        <v>22</v>
      </c>
      <c r="J15" s="26">
        <v>6870.4</v>
      </c>
      <c r="K15" s="27">
        <f t="shared" si="3"/>
        <v>0.003111362239</v>
      </c>
      <c r="L15" s="9"/>
    </row>
    <row r="16">
      <c r="A16" s="6" t="s">
        <v>23</v>
      </c>
      <c r="B16" s="7">
        <v>430.17</v>
      </c>
      <c r="C16" s="25">
        <f t="shared" si="1"/>
        <v>0.09992584827</v>
      </c>
      <c r="E16" s="6" t="s">
        <v>23</v>
      </c>
      <c r="F16" s="7">
        <v>63.8</v>
      </c>
      <c r="G16" s="25">
        <f t="shared" si="2"/>
        <v>0.02919825778</v>
      </c>
      <c r="I16" s="6" t="s">
        <v>23</v>
      </c>
      <c r="J16" s="26">
        <v>6849.09</v>
      </c>
      <c r="K16" s="27">
        <f t="shared" si="3"/>
        <v>0.0372709939</v>
      </c>
      <c r="L16" s="9"/>
    </row>
    <row r="17">
      <c r="A17" s="6" t="s">
        <v>24</v>
      </c>
      <c r="B17" s="7">
        <v>391.09</v>
      </c>
      <c r="C17" s="25">
        <f t="shared" si="1"/>
        <v>-0.03279337208</v>
      </c>
      <c r="E17" s="6" t="s">
        <v>24</v>
      </c>
      <c r="F17" s="7">
        <v>61.99</v>
      </c>
      <c r="G17" s="25">
        <f t="shared" si="2"/>
        <v>-0.02131354594</v>
      </c>
      <c r="I17" s="6" t="s">
        <v>24</v>
      </c>
      <c r="J17" s="26">
        <v>6602.99</v>
      </c>
      <c r="K17" s="27">
        <f t="shared" si="3"/>
        <v>-0.01947102141</v>
      </c>
      <c r="L17" s="9"/>
    </row>
    <row r="18">
      <c r="A18" s="6" t="s">
        <v>25</v>
      </c>
      <c r="B18" s="7">
        <v>404.35</v>
      </c>
      <c r="C18" s="25">
        <f t="shared" si="1"/>
        <v>-0.05860029801</v>
      </c>
      <c r="E18" s="6" t="s">
        <v>25</v>
      </c>
      <c r="F18" s="7">
        <v>63.34</v>
      </c>
      <c r="G18" s="25">
        <f t="shared" si="2"/>
        <v>0.0504145937</v>
      </c>
      <c r="I18" s="6" t="s">
        <v>25</v>
      </c>
      <c r="J18" s="26">
        <v>6734.11</v>
      </c>
      <c r="K18" s="27">
        <f t="shared" si="3"/>
        <v>0.000789145167</v>
      </c>
      <c r="L18" s="9"/>
    </row>
    <row r="19">
      <c r="A19" s="6" t="s">
        <v>26</v>
      </c>
      <c r="B19" s="7">
        <v>429.52</v>
      </c>
      <c r="C19" s="25">
        <f t="shared" si="1"/>
        <v>-0.05922551253</v>
      </c>
      <c r="E19" s="6" t="s">
        <v>26</v>
      </c>
      <c r="F19" s="7">
        <v>60.3</v>
      </c>
      <c r="G19" s="25">
        <f t="shared" si="2"/>
        <v>-0.05426599749</v>
      </c>
      <c r="I19" s="6" t="s">
        <v>26</v>
      </c>
      <c r="J19" s="26">
        <v>6728.8</v>
      </c>
      <c r="K19" s="27">
        <f t="shared" si="3"/>
        <v>-0.01628607351</v>
      </c>
      <c r="L19" s="9"/>
    </row>
    <row r="20">
      <c r="A20" s="6" t="s">
        <v>27</v>
      </c>
      <c r="B20" s="7">
        <v>456.56</v>
      </c>
      <c r="C20" s="25">
        <f t="shared" si="1"/>
        <v>0.05266070276</v>
      </c>
      <c r="E20" s="6" t="s">
        <v>27</v>
      </c>
      <c r="F20" s="7">
        <v>63.76</v>
      </c>
      <c r="G20" s="25">
        <f t="shared" si="2"/>
        <v>-0.06537672237</v>
      </c>
      <c r="I20" s="6" t="s">
        <v>27</v>
      </c>
      <c r="J20" s="26">
        <v>6840.2</v>
      </c>
      <c r="K20" s="27">
        <f t="shared" si="3"/>
        <v>0.007142552148</v>
      </c>
      <c r="L20" s="9"/>
    </row>
    <row r="21">
      <c r="A21" s="6" t="s">
        <v>28</v>
      </c>
      <c r="B21" s="7">
        <v>433.72</v>
      </c>
      <c r="C21" s="25">
        <f t="shared" si="1"/>
        <v>-0.01272449978</v>
      </c>
      <c r="E21" s="6" t="s">
        <v>28</v>
      </c>
      <c r="F21" s="7">
        <v>68.22</v>
      </c>
      <c r="G21" s="25">
        <f t="shared" si="2"/>
        <v>0.02586466165</v>
      </c>
      <c r="I21" s="6" t="s">
        <v>28</v>
      </c>
      <c r="J21" s="26">
        <v>6791.69</v>
      </c>
      <c r="K21" s="27">
        <f t="shared" si="3"/>
        <v>0.01915963511</v>
      </c>
      <c r="L21" s="9"/>
    </row>
    <row r="22">
      <c r="A22" s="6" t="s">
        <v>29</v>
      </c>
      <c r="B22" s="7">
        <v>439.31</v>
      </c>
      <c r="C22" s="25">
        <f t="shared" si="1"/>
        <v>0.06244407362</v>
      </c>
      <c r="E22" s="6" t="s">
        <v>29</v>
      </c>
      <c r="F22" s="7">
        <v>66.5</v>
      </c>
      <c r="G22" s="25">
        <f t="shared" si="2"/>
        <v>0.03292948121</v>
      </c>
      <c r="I22" s="6" t="s">
        <v>29</v>
      </c>
      <c r="J22" s="26">
        <v>6664.01</v>
      </c>
      <c r="K22" s="27">
        <f t="shared" si="3"/>
        <v>0.01701637998</v>
      </c>
      <c r="L22" s="9"/>
    </row>
    <row r="23">
      <c r="A23" s="6" t="s">
        <v>30</v>
      </c>
      <c r="B23" s="7">
        <v>413.49</v>
      </c>
      <c r="C23" s="25">
        <f t="shared" si="1"/>
        <v>-0.0380150292</v>
      </c>
      <c r="E23" s="6" t="s">
        <v>30</v>
      </c>
      <c r="F23" s="7">
        <v>64.38</v>
      </c>
      <c r="G23" s="25">
        <f t="shared" si="2"/>
        <v>-0.09323943662</v>
      </c>
      <c r="I23" s="6" t="s">
        <v>30</v>
      </c>
      <c r="J23" s="26">
        <v>6552.51</v>
      </c>
      <c r="K23" s="27">
        <f t="shared" si="3"/>
        <v>-0.02431285076</v>
      </c>
      <c r="L23" s="9"/>
    </row>
    <row r="24">
      <c r="A24" s="6" t="s">
        <v>31</v>
      </c>
      <c r="B24" s="7">
        <v>429.83</v>
      </c>
      <c r="C24" s="25">
        <f t="shared" si="1"/>
        <v>-0.02400090827</v>
      </c>
      <c r="E24" s="6" t="s">
        <v>31</v>
      </c>
      <c r="F24" s="7">
        <v>71.0</v>
      </c>
      <c r="G24" s="25">
        <f t="shared" si="2"/>
        <v>0.03770827243</v>
      </c>
      <c r="I24" s="6" t="s">
        <v>31</v>
      </c>
      <c r="J24" s="26">
        <v>6715.79</v>
      </c>
      <c r="K24" s="27">
        <f t="shared" si="3"/>
        <v>0.01085088129</v>
      </c>
      <c r="L24" s="9"/>
    </row>
    <row r="25">
      <c r="A25" s="6" t="s">
        <v>32</v>
      </c>
      <c r="B25" s="7">
        <v>440.4</v>
      </c>
      <c r="C25" s="25">
        <f t="shared" si="1"/>
        <v>0.03363297111</v>
      </c>
      <c r="E25" s="6" t="s">
        <v>32</v>
      </c>
      <c r="F25" s="7">
        <v>68.42</v>
      </c>
      <c r="G25" s="25">
        <f t="shared" si="2"/>
        <v>-0.02229208345</v>
      </c>
      <c r="I25" s="6" t="s">
        <v>32</v>
      </c>
      <c r="J25" s="26">
        <v>6643.7</v>
      </c>
      <c r="K25" s="27">
        <f t="shared" si="3"/>
        <v>-0.003100072625</v>
      </c>
      <c r="L25" s="9"/>
    </row>
    <row r="26">
      <c r="A26" s="6" t="s">
        <v>33</v>
      </c>
      <c r="B26" s="7">
        <v>426.07</v>
      </c>
      <c r="C26" s="25">
        <f t="shared" si="1"/>
        <v>0.07609738849</v>
      </c>
      <c r="E26" s="6" t="s">
        <v>33</v>
      </c>
      <c r="F26" s="7">
        <v>69.98</v>
      </c>
      <c r="G26" s="25">
        <f t="shared" si="2"/>
        <v>-0.02886483486</v>
      </c>
      <c r="I26" s="6" t="s">
        <v>33</v>
      </c>
      <c r="J26" s="26">
        <v>6664.36</v>
      </c>
      <c r="K26" s="27">
        <f t="shared" si="3"/>
        <v>0.01216076449</v>
      </c>
      <c r="L26" s="9"/>
    </row>
    <row r="27">
      <c r="A27" s="6" t="s">
        <v>34</v>
      </c>
      <c r="B27" s="7">
        <v>395.94</v>
      </c>
      <c r="C27" s="25">
        <f t="shared" si="1"/>
        <v>0.1285486262</v>
      </c>
      <c r="E27" s="6" t="s">
        <v>34</v>
      </c>
      <c r="F27" s="7">
        <v>72.06</v>
      </c>
      <c r="G27" s="25">
        <f t="shared" si="2"/>
        <v>-0.007164508129</v>
      </c>
      <c r="I27" s="6" t="s">
        <v>34</v>
      </c>
      <c r="J27" s="26">
        <v>6584.29</v>
      </c>
      <c r="K27" s="27">
        <f t="shared" si="3"/>
        <v>0.01585898326</v>
      </c>
      <c r="L27" s="9"/>
    </row>
    <row r="28">
      <c r="A28" s="6" t="s">
        <v>35</v>
      </c>
      <c r="B28" s="7">
        <v>350.84</v>
      </c>
      <c r="C28" s="25">
        <f t="shared" si="1"/>
        <v>0.05082816665</v>
      </c>
      <c r="E28" s="6" t="s">
        <v>35</v>
      </c>
      <c r="F28" s="7">
        <v>72.58</v>
      </c>
      <c r="G28" s="25">
        <f t="shared" si="2"/>
        <v>-0.04474861806</v>
      </c>
      <c r="I28" s="6" t="s">
        <v>35</v>
      </c>
      <c r="J28" s="26">
        <v>6481.5</v>
      </c>
      <c r="K28" s="27">
        <f t="shared" si="3"/>
        <v>0.003287793371</v>
      </c>
      <c r="L28" s="9"/>
    </row>
    <row r="29">
      <c r="A29" s="6" t="s">
        <v>36</v>
      </c>
      <c r="B29" s="7">
        <v>333.87</v>
      </c>
      <c r="C29" s="25">
        <f t="shared" si="1"/>
        <v>-0.0180582924</v>
      </c>
      <c r="E29" s="6" t="s">
        <v>36</v>
      </c>
      <c r="F29" s="7">
        <v>75.98</v>
      </c>
      <c r="G29" s="25">
        <f t="shared" si="2"/>
        <v>-0.01286215409</v>
      </c>
      <c r="I29" s="6" t="s">
        <v>36</v>
      </c>
      <c r="J29" s="26">
        <v>6460.26</v>
      </c>
      <c r="K29" s="27">
        <f t="shared" si="3"/>
        <v>-0.001028311821</v>
      </c>
      <c r="L29" s="9"/>
    </row>
    <row r="30">
      <c r="A30" s="6" t="s">
        <v>37</v>
      </c>
      <c r="B30" s="7">
        <v>340.01</v>
      </c>
      <c r="C30" s="25">
        <f t="shared" si="1"/>
        <v>0.02858785092</v>
      </c>
      <c r="E30" s="6" t="s">
        <v>37</v>
      </c>
      <c r="F30" s="7">
        <v>76.97</v>
      </c>
      <c r="G30" s="25">
        <f t="shared" si="2"/>
        <v>0.01839110876</v>
      </c>
      <c r="I30" s="6" t="s">
        <v>37</v>
      </c>
      <c r="J30" s="26">
        <v>6466.91</v>
      </c>
      <c r="K30" s="27">
        <f t="shared" si="3"/>
        <v>0.002652795436</v>
      </c>
      <c r="L30" s="9"/>
    </row>
    <row r="31">
      <c r="A31" s="6" t="s">
        <v>38</v>
      </c>
      <c r="B31" s="7">
        <v>330.56</v>
      </c>
      <c r="C31" s="25">
        <f t="shared" si="1"/>
        <v>0.002760503564</v>
      </c>
      <c r="E31" s="6" t="s">
        <v>38</v>
      </c>
      <c r="F31" s="7">
        <v>75.58</v>
      </c>
      <c r="G31" s="25">
        <f t="shared" si="2"/>
        <v>0.03747426218</v>
      </c>
      <c r="I31" s="6" t="s">
        <v>38</v>
      </c>
      <c r="J31" s="26">
        <v>6449.8</v>
      </c>
      <c r="K31" s="27">
        <f t="shared" si="3"/>
        <v>0.009445257417</v>
      </c>
      <c r="L31" s="9"/>
    </row>
    <row r="32">
      <c r="A32" s="6" t="s">
        <v>39</v>
      </c>
      <c r="B32" s="7">
        <v>329.65</v>
      </c>
      <c r="C32" s="25">
        <f t="shared" si="1"/>
        <v>0.08928394409</v>
      </c>
      <c r="E32" s="6" t="s">
        <v>39</v>
      </c>
      <c r="F32" s="7">
        <v>72.85</v>
      </c>
      <c r="G32" s="25">
        <f t="shared" si="2"/>
        <v>-0.00586790393</v>
      </c>
      <c r="I32" s="6" t="s">
        <v>39</v>
      </c>
      <c r="J32" s="26">
        <v>6389.45</v>
      </c>
      <c r="K32" s="27">
        <f t="shared" si="3"/>
        <v>0.02427697294</v>
      </c>
      <c r="L32" s="9"/>
    </row>
    <row r="33">
      <c r="A33" s="6" t="s">
        <v>40</v>
      </c>
      <c r="B33" s="7">
        <v>302.63</v>
      </c>
      <c r="C33" s="25">
        <f t="shared" si="1"/>
        <v>-0.04249193191</v>
      </c>
      <c r="E33" s="6" t="s">
        <v>40</v>
      </c>
      <c r="F33" s="7">
        <v>73.28</v>
      </c>
      <c r="G33" s="25">
        <f t="shared" si="2"/>
        <v>-0.02162883845</v>
      </c>
      <c r="I33" s="6" t="s">
        <v>40</v>
      </c>
      <c r="J33" s="26">
        <v>6238.01</v>
      </c>
      <c r="K33" s="27">
        <f t="shared" si="3"/>
        <v>-0.02357778807</v>
      </c>
      <c r="L33" s="9"/>
    </row>
    <row r="34">
      <c r="A34" s="6" t="s">
        <v>41</v>
      </c>
      <c r="B34" s="7">
        <v>316.06</v>
      </c>
      <c r="C34" s="25">
        <f t="shared" si="1"/>
        <v>-0.04122554224</v>
      </c>
      <c r="E34" s="6" t="s">
        <v>41</v>
      </c>
      <c r="F34" s="7">
        <v>74.9</v>
      </c>
      <c r="G34" s="25">
        <f t="shared" si="2"/>
        <v>0.0524097232</v>
      </c>
      <c r="I34" s="6" t="s">
        <v>41</v>
      </c>
      <c r="J34" s="26">
        <v>6388.64</v>
      </c>
      <c r="K34" s="27">
        <f t="shared" si="3"/>
        <v>0.0145867974</v>
      </c>
      <c r="L34" s="9"/>
    </row>
    <row r="35">
      <c r="A35" s="6" t="s">
        <v>42</v>
      </c>
      <c r="B35" s="7">
        <v>329.65</v>
      </c>
      <c r="C35" s="25">
        <f t="shared" si="1"/>
        <v>0.05148161143</v>
      </c>
      <c r="E35" s="6" t="s">
        <v>42</v>
      </c>
      <c r="F35" s="7">
        <v>71.17</v>
      </c>
      <c r="G35" s="25">
        <f t="shared" si="2"/>
        <v>-0.002103196859</v>
      </c>
      <c r="I35" s="6" t="s">
        <v>42</v>
      </c>
      <c r="J35" s="26">
        <v>6296.79</v>
      </c>
      <c r="K35" s="27">
        <f t="shared" si="3"/>
        <v>0.005917169216</v>
      </c>
      <c r="L35" s="9"/>
    </row>
    <row r="36">
      <c r="A36" s="6" t="s">
        <v>43</v>
      </c>
      <c r="B36" s="7">
        <v>313.51</v>
      </c>
      <c r="C36" s="25">
        <f t="shared" si="1"/>
        <v>-0.005834786745</v>
      </c>
      <c r="E36" s="6" t="s">
        <v>43</v>
      </c>
      <c r="F36" s="7">
        <v>71.32</v>
      </c>
      <c r="G36" s="25">
        <f t="shared" si="2"/>
        <v>-0.04932018128</v>
      </c>
      <c r="I36" s="6" t="s">
        <v>43</v>
      </c>
      <c r="J36" s="26">
        <v>6259.75</v>
      </c>
      <c r="K36" s="27">
        <f t="shared" si="3"/>
        <v>-0.003121342177</v>
      </c>
      <c r="L36" s="9"/>
    </row>
    <row r="37">
      <c r="A37" s="6" t="s">
        <v>44</v>
      </c>
      <c r="B37" s="7">
        <v>315.35</v>
      </c>
      <c r="C37" s="25">
        <f t="shared" si="1"/>
        <v>-0.02558477273</v>
      </c>
      <c r="E37" s="6" t="s">
        <v>44</v>
      </c>
      <c r="F37" s="7">
        <v>75.02</v>
      </c>
      <c r="G37" s="25">
        <f t="shared" si="2"/>
        <v>0.06050325134</v>
      </c>
      <c r="I37" s="6" t="s">
        <v>44</v>
      </c>
      <c r="J37" s="26">
        <v>6279.35</v>
      </c>
      <c r="K37" s="27">
        <f t="shared" si="3"/>
        <v>0.01721671713</v>
      </c>
      <c r="L37" s="9"/>
    </row>
    <row r="38">
      <c r="A38" s="6" t="s">
        <v>45</v>
      </c>
      <c r="B38" s="7">
        <v>323.63</v>
      </c>
      <c r="C38" s="25">
        <f t="shared" si="1"/>
        <v>0.004562950087</v>
      </c>
      <c r="E38" s="6" t="s">
        <v>45</v>
      </c>
      <c r="F38" s="7">
        <v>70.74</v>
      </c>
      <c r="G38" s="25">
        <f t="shared" si="2"/>
        <v>0.2049054676</v>
      </c>
      <c r="I38" s="6" t="s">
        <v>45</v>
      </c>
      <c r="J38" s="26">
        <v>6173.07</v>
      </c>
      <c r="K38" s="27">
        <f t="shared" si="3"/>
        <v>0.03438932679</v>
      </c>
      <c r="L38" s="9"/>
    </row>
    <row r="39">
      <c r="A39" s="6" t="s">
        <v>46</v>
      </c>
      <c r="B39" s="7">
        <v>322.16</v>
      </c>
      <c r="C39" s="25">
        <f t="shared" si="1"/>
        <v>-0.009683071532</v>
      </c>
      <c r="E39" s="6" t="s">
        <v>46</v>
      </c>
      <c r="F39" s="7">
        <v>58.71</v>
      </c>
      <c r="G39" s="25">
        <f t="shared" si="2"/>
        <v>-0.01228129206</v>
      </c>
      <c r="I39" s="6" t="s">
        <v>46</v>
      </c>
      <c r="J39" s="26">
        <v>5967.84</v>
      </c>
      <c r="K39" s="27">
        <f t="shared" si="3"/>
        <v>-0.001527529835</v>
      </c>
      <c r="L39" s="9"/>
    </row>
    <row r="40">
      <c r="A40" s="6" t="s">
        <v>47</v>
      </c>
      <c r="B40" s="7">
        <v>325.31</v>
      </c>
      <c r="C40" s="25">
        <f t="shared" si="1"/>
        <v>0.102222674</v>
      </c>
      <c r="E40" s="6" t="s">
        <v>47</v>
      </c>
      <c r="F40" s="7">
        <v>59.44</v>
      </c>
      <c r="G40" s="25">
        <f t="shared" si="2"/>
        <v>-0.02970943519</v>
      </c>
      <c r="I40" s="6" t="s">
        <v>47</v>
      </c>
      <c r="J40" s="26">
        <v>5976.97</v>
      </c>
      <c r="K40" s="27">
        <f t="shared" si="3"/>
        <v>-0.003898099447</v>
      </c>
      <c r="L40" s="9"/>
    </row>
    <row r="41">
      <c r="A41" s="6" t="s">
        <v>48</v>
      </c>
      <c r="B41" s="7">
        <v>295.14</v>
      </c>
      <c r="C41" s="25">
        <f t="shared" si="1"/>
        <v>-0.1481267679</v>
      </c>
      <c r="E41" s="6" t="s">
        <v>48</v>
      </c>
      <c r="F41" s="7">
        <v>61.26</v>
      </c>
      <c r="G41" s="25">
        <f t="shared" si="2"/>
        <v>0.03637286415</v>
      </c>
      <c r="I41" s="6" t="s">
        <v>48</v>
      </c>
      <c r="J41" s="26">
        <v>6000.36</v>
      </c>
      <c r="K41" s="27">
        <f t="shared" si="3"/>
        <v>0.01499909501</v>
      </c>
      <c r="L41" s="9"/>
    </row>
    <row r="42">
      <c r="A42" s="6" t="s">
        <v>49</v>
      </c>
      <c r="B42" s="7">
        <v>346.46</v>
      </c>
      <c r="C42" s="25">
        <f t="shared" si="1"/>
        <v>0.02098190605</v>
      </c>
      <c r="E42" s="6" t="s">
        <v>49</v>
      </c>
      <c r="F42" s="7">
        <v>59.11</v>
      </c>
      <c r="G42" s="25">
        <f t="shared" si="2"/>
        <v>0.009564474808</v>
      </c>
      <c r="I42" s="6" t="s">
        <v>49</v>
      </c>
      <c r="J42" s="26">
        <v>5911.69</v>
      </c>
      <c r="K42" s="27">
        <f t="shared" si="3"/>
        <v>0.01876156765</v>
      </c>
      <c r="L42" s="9"/>
    </row>
    <row r="43">
      <c r="A43" s="6" t="s">
        <v>50</v>
      </c>
      <c r="B43" s="7">
        <v>339.34</v>
      </c>
      <c r="C43" s="25">
        <f t="shared" si="1"/>
        <v>-0.03040173724</v>
      </c>
      <c r="E43" s="6" t="s">
        <v>50</v>
      </c>
      <c r="F43" s="7">
        <v>58.55</v>
      </c>
      <c r="G43" s="25">
        <f t="shared" si="2"/>
        <v>-0.04889538661</v>
      </c>
      <c r="I43" s="6" t="s">
        <v>50</v>
      </c>
      <c r="J43" s="26">
        <v>5802.82</v>
      </c>
      <c r="K43" s="27">
        <f t="shared" si="3"/>
        <v>-0.02610776755</v>
      </c>
      <c r="L43" s="9"/>
    </row>
    <row r="44">
      <c r="A44" s="6" t="s">
        <v>51</v>
      </c>
      <c r="B44" s="7">
        <v>349.98</v>
      </c>
      <c r="C44" s="25">
        <f t="shared" si="1"/>
        <v>0.1734057534</v>
      </c>
      <c r="E44" s="6" t="s">
        <v>51</v>
      </c>
      <c r="F44" s="7">
        <v>61.56</v>
      </c>
      <c r="G44" s="25">
        <f t="shared" si="2"/>
        <v>0.08246878846</v>
      </c>
      <c r="I44" s="6" t="s">
        <v>51</v>
      </c>
      <c r="J44" s="26">
        <v>5958.38</v>
      </c>
      <c r="K44" s="27">
        <f t="shared" si="3"/>
        <v>0.05273405408</v>
      </c>
      <c r="L44" s="9"/>
    </row>
    <row r="45">
      <c r="A45" s="6" t="s">
        <v>52</v>
      </c>
      <c r="B45" s="7">
        <v>298.26</v>
      </c>
      <c r="C45" s="25">
        <f t="shared" si="1"/>
        <v>0.03847359075</v>
      </c>
      <c r="E45" s="6" t="s">
        <v>52</v>
      </c>
      <c r="F45" s="7">
        <v>56.87</v>
      </c>
      <c r="G45" s="25">
        <f t="shared" si="2"/>
        <v>-0.005073477957</v>
      </c>
      <c r="I45" s="6" t="s">
        <v>52</v>
      </c>
      <c r="J45" s="26">
        <v>5659.91</v>
      </c>
      <c r="K45" s="27">
        <f t="shared" si="3"/>
        <v>-0.004705741673</v>
      </c>
      <c r="L45" s="9"/>
    </row>
    <row r="46">
      <c r="A46" s="6" t="s">
        <v>53</v>
      </c>
      <c r="B46" s="7">
        <v>287.21</v>
      </c>
      <c r="C46" s="25">
        <f t="shared" si="1"/>
        <v>0.007931216003</v>
      </c>
      <c r="E46" s="6" t="s">
        <v>53</v>
      </c>
      <c r="F46" s="7">
        <v>57.16</v>
      </c>
      <c r="G46" s="25">
        <f t="shared" si="2"/>
        <v>0.01690090731</v>
      </c>
      <c r="I46" s="6" t="s">
        <v>53</v>
      </c>
      <c r="J46" s="26">
        <v>5686.67</v>
      </c>
      <c r="K46" s="27">
        <f t="shared" si="3"/>
        <v>0.0292224187</v>
      </c>
      <c r="L46" s="9"/>
    </row>
    <row r="47">
      <c r="A47" s="6" t="s">
        <v>54</v>
      </c>
      <c r="B47" s="7">
        <v>284.95</v>
      </c>
      <c r="C47" s="25">
        <f t="shared" si="1"/>
        <v>0.1805526785</v>
      </c>
      <c r="E47" s="6" t="s">
        <v>54</v>
      </c>
      <c r="F47" s="7">
        <v>56.21</v>
      </c>
      <c r="G47" s="25">
        <f t="shared" si="2"/>
        <v>0.03346203346</v>
      </c>
      <c r="I47" s="6" t="s">
        <v>54</v>
      </c>
      <c r="J47" s="26">
        <v>5525.21</v>
      </c>
      <c r="K47" s="27">
        <f t="shared" si="3"/>
        <v>0.04590644935</v>
      </c>
      <c r="L47" s="9"/>
    </row>
    <row r="48">
      <c r="A48" s="6" t="s">
        <v>55</v>
      </c>
      <c r="B48" s="7">
        <v>241.37</v>
      </c>
      <c r="C48" s="25">
        <f t="shared" si="1"/>
        <v>-0.04335935952</v>
      </c>
      <c r="E48" s="6" t="s">
        <v>55</v>
      </c>
      <c r="F48" s="7">
        <v>54.39</v>
      </c>
      <c r="G48" s="25">
        <f t="shared" si="2"/>
        <v>0.02506596306</v>
      </c>
      <c r="I48" s="6" t="s">
        <v>55</v>
      </c>
      <c r="J48" s="26">
        <v>5282.7</v>
      </c>
      <c r="K48" s="27">
        <f t="shared" si="3"/>
        <v>-0.01503907998</v>
      </c>
      <c r="L48" s="9"/>
    </row>
    <row r="49">
      <c r="A49" s="6" t="s">
        <v>56</v>
      </c>
      <c r="B49" s="7">
        <v>252.31</v>
      </c>
      <c r="C49" s="25">
        <f t="shared" si="1"/>
        <v>0.05379442843</v>
      </c>
      <c r="E49" s="6" t="s">
        <v>56</v>
      </c>
      <c r="F49" s="7">
        <v>53.06</v>
      </c>
      <c r="G49" s="25">
        <f t="shared" si="2"/>
        <v>-0.04995523724</v>
      </c>
      <c r="I49" s="6" t="s">
        <v>56</v>
      </c>
      <c r="J49" s="26">
        <v>5363.36</v>
      </c>
      <c r="K49" s="27">
        <f t="shared" si="3"/>
        <v>0.05701132028</v>
      </c>
      <c r="L49" s="9"/>
    </row>
    <row r="50">
      <c r="A50" s="6" t="s">
        <v>57</v>
      </c>
      <c r="B50" s="7">
        <v>239.43</v>
      </c>
      <c r="C50" s="25">
        <f t="shared" si="1"/>
        <v>-0.09151963574</v>
      </c>
      <c r="E50" s="6" t="s">
        <v>57</v>
      </c>
      <c r="F50" s="7">
        <v>55.85</v>
      </c>
      <c r="G50" s="25">
        <f t="shared" si="2"/>
        <v>-0.09540006479</v>
      </c>
      <c r="I50" s="6" t="s">
        <v>57</v>
      </c>
      <c r="J50" s="26">
        <v>5074.08</v>
      </c>
      <c r="K50" s="27">
        <f t="shared" si="3"/>
        <v>-0.09081982605</v>
      </c>
      <c r="L50" s="9"/>
    </row>
    <row r="51">
      <c r="A51" s="6" t="s">
        <v>58</v>
      </c>
      <c r="B51" s="7">
        <v>263.55</v>
      </c>
      <c r="C51" s="25">
        <f t="shared" si="1"/>
        <v>0.05966788629</v>
      </c>
      <c r="E51" s="6" t="s">
        <v>58</v>
      </c>
      <c r="F51" s="7">
        <v>61.74</v>
      </c>
      <c r="G51" s="25">
        <f t="shared" si="2"/>
        <v>-0.06849728425</v>
      </c>
      <c r="I51" s="6" t="s">
        <v>58</v>
      </c>
      <c r="J51" s="26">
        <v>5580.94</v>
      </c>
      <c r="K51" s="27">
        <f t="shared" si="3"/>
        <v>-0.01528347296</v>
      </c>
      <c r="L51" s="9"/>
    </row>
    <row r="52">
      <c r="A52" s="6" t="s">
        <v>59</v>
      </c>
      <c r="B52" s="7">
        <v>248.71</v>
      </c>
      <c r="C52" s="25">
        <f t="shared" si="1"/>
        <v>-0.005080406433</v>
      </c>
      <c r="E52" s="6" t="s">
        <v>59</v>
      </c>
      <c r="F52" s="7">
        <v>66.28</v>
      </c>
      <c r="G52" s="25">
        <f t="shared" si="2"/>
        <v>-0.05192390216</v>
      </c>
      <c r="I52" s="6" t="s">
        <v>59</v>
      </c>
      <c r="J52" s="26">
        <v>5667.56</v>
      </c>
      <c r="K52" s="27">
        <f t="shared" si="3"/>
        <v>0.005075421976</v>
      </c>
      <c r="L52" s="9"/>
    </row>
    <row r="53">
      <c r="A53" s="6" t="s">
        <v>60</v>
      </c>
      <c r="B53" s="7">
        <v>249.98</v>
      </c>
      <c r="C53" s="25">
        <f t="shared" si="1"/>
        <v>-0.04831156965</v>
      </c>
      <c r="E53" s="6" t="s">
        <v>60</v>
      </c>
      <c r="F53" s="7">
        <v>69.91</v>
      </c>
      <c r="G53" s="25">
        <f t="shared" si="2"/>
        <v>-0.08350812795</v>
      </c>
      <c r="I53" s="6" t="s">
        <v>60</v>
      </c>
      <c r="J53" s="26">
        <v>5638.94</v>
      </c>
      <c r="K53" s="27" t="str">
        <f t="shared" si="3"/>
        <v>#DIV/0!</v>
      </c>
      <c r="L53" s="9"/>
    </row>
    <row r="54">
      <c r="A54" s="6" t="s">
        <v>61</v>
      </c>
      <c r="B54" s="7">
        <v>262.67</v>
      </c>
      <c r="C54" s="25" t="str">
        <f t="shared" si="1"/>
        <v>#DIV/0!</v>
      </c>
      <c r="E54" s="6" t="s">
        <v>61</v>
      </c>
      <c r="F54" s="7">
        <v>76.28</v>
      </c>
      <c r="G54" s="25" t="str">
        <f t="shared" si="2"/>
        <v>#DIV/0!</v>
      </c>
      <c r="I54" s="12"/>
      <c r="K54" s="27"/>
      <c r="L54" s="9"/>
    </row>
    <row r="55">
      <c r="A55" s="6"/>
      <c r="B55" s="7"/>
      <c r="C55" s="25"/>
      <c r="E55" s="12"/>
      <c r="G55" s="25"/>
      <c r="I55" s="12"/>
      <c r="K55" s="28"/>
    </row>
    <row r="56">
      <c r="A56" s="10"/>
      <c r="C56" s="25"/>
      <c r="E56" s="12"/>
      <c r="G56" s="25"/>
      <c r="I56" s="12"/>
      <c r="K56" s="28"/>
    </row>
    <row r="57">
      <c r="A57" s="12"/>
      <c r="C57" s="25"/>
      <c r="E57" s="12"/>
      <c r="G57" s="25"/>
      <c r="I57" s="12"/>
      <c r="K57" s="28"/>
    </row>
    <row r="58">
      <c r="A58" s="12"/>
      <c r="C58" s="25"/>
      <c r="E58" s="12"/>
      <c r="G58" s="25"/>
      <c r="I58" s="12"/>
      <c r="K58" s="28"/>
    </row>
    <row r="59">
      <c r="A59" s="12"/>
      <c r="C59" s="25"/>
      <c r="E59" s="12"/>
      <c r="G59" s="25"/>
      <c r="I59" s="12"/>
      <c r="K59" s="28"/>
    </row>
    <row r="60">
      <c r="A60" s="12"/>
      <c r="C60" s="25"/>
      <c r="E60" s="12"/>
      <c r="G60" s="25"/>
      <c r="I60" s="12"/>
      <c r="K60" s="28"/>
    </row>
    <row r="61">
      <c r="A61" s="12"/>
      <c r="C61" s="25"/>
      <c r="E61" s="12"/>
      <c r="G61" s="25"/>
      <c r="I61" s="12"/>
      <c r="K61" s="28"/>
    </row>
    <row r="62">
      <c r="A62" s="12"/>
      <c r="C62" s="25"/>
      <c r="E62" s="12"/>
      <c r="G62" s="25"/>
      <c r="I62" s="12"/>
      <c r="K62" s="28"/>
    </row>
    <row r="63">
      <c r="A63" s="12"/>
      <c r="C63" s="25"/>
      <c r="E63" s="12"/>
      <c r="G63" s="25"/>
      <c r="I63" s="12"/>
      <c r="K63" s="28"/>
    </row>
    <row r="64">
      <c r="A64" s="12"/>
      <c r="C64" s="25"/>
      <c r="E64" s="12"/>
      <c r="G64" s="25"/>
      <c r="I64" s="12"/>
      <c r="K64" s="28"/>
    </row>
    <row r="65">
      <c r="A65" s="12"/>
      <c r="C65" s="25"/>
      <c r="E65" s="12"/>
      <c r="G65" s="25"/>
      <c r="I65" s="12"/>
      <c r="K65" s="28"/>
    </row>
    <row r="66">
      <c r="A66" s="12"/>
      <c r="C66" s="25"/>
      <c r="E66" s="12"/>
      <c r="G66" s="25"/>
      <c r="I66" s="12"/>
      <c r="K66" s="28"/>
    </row>
    <row r="67">
      <c r="A67" s="12"/>
      <c r="C67" s="25"/>
      <c r="E67" s="12"/>
      <c r="G67" s="25"/>
      <c r="I67" s="12"/>
      <c r="K67" s="28"/>
    </row>
    <row r="68">
      <c r="A68" s="12"/>
      <c r="C68" s="25"/>
      <c r="E68" s="12"/>
      <c r="G68" s="25"/>
      <c r="I68" s="12"/>
      <c r="K68" s="28"/>
    </row>
    <row r="69">
      <c r="A69" s="12"/>
      <c r="C69" s="25"/>
      <c r="E69" s="12"/>
      <c r="G69" s="25"/>
      <c r="I69" s="12"/>
      <c r="K69" s="28"/>
    </row>
    <row r="70">
      <c r="A70" s="12"/>
      <c r="C70" s="25"/>
      <c r="E70" s="12"/>
      <c r="G70" s="25"/>
      <c r="I70" s="12"/>
      <c r="K70" s="28"/>
    </row>
    <row r="71">
      <c r="A71" s="12"/>
      <c r="C71" s="25"/>
      <c r="E71" s="12"/>
      <c r="G71" s="25"/>
      <c r="I71" s="12"/>
      <c r="K71" s="28"/>
    </row>
    <row r="72">
      <c r="A72" s="12"/>
      <c r="C72" s="25"/>
      <c r="E72" s="12"/>
      <c r="G72" s="25"/>
      <c r="I72" s="12"/>
      <c r="K72" s="28"/>
    </row>
    <row r="73">
      <c r="A73" s="12"/>
      <c r="C73" s="25"/>
      <c r="E73" s="12"/>
      <c r="G73" s="25"/>
      <c r="I73" s="12"/>
      <c r="K73" s="28"/>
    </row>
    <row r="74">
      <c r="A74" s="12"/>
      <c r="C74" s="25"/>
      <c r="E74" s="12"/>
      <c r="G74" s="25"/>
      <c r="I74" s="12"/>
      <c r="K74" s="28"/>
    </row>
    <row r="75">
      <c r="A75" s="12"/>
      <c r="C75" s="25"/>
      <c r="E75" s="12"/>
      <c r="G75" s="25"/>
      <c r="I75" s="12"/>
      <c r="K75" s="28"/>
    </row>
    <row r="76">
      <c r="A76" s="12"/>
      <c r="C76" s="25"/>
      <c r="E76" s="12"/>
      <c r="G76" s="25"/>
      <c r="I76" s="12"/>
      <c r="K76" s="28"/>
    </row>
    <row r="77">
      <c r="A77" s="12"/>
      <c r="C77" s="25"/>
      <c r="E77" s="12"/>
      <c r="G77" s="25"/>
      <c r="I77" s="12"/>
      <c r="K77" s="28"/>
    </row>
    <row r="78">
      <c r="A78" s="12"/>
      <c r="C78" s="25"/>
      <c r="E78" s="12"/>
      <c r="G78" s="25"/>
      <c r="I78" s="12"/>
      <c r="K78" s="28"/>
    </row>
    <row r="79">
      <c r="A79" s="12"/>
      <c r="C79" s="25"/>
      <c r="E79" s="12"/>
      <c r="G79" s="25"/>
      <c r="I79" s="12"/>
      <c r="K79" s="28"/>
    </row>
    <row r="80">
      <c r="A80" s="12"/>
      <c r="C80" s="25"/>
      <c r="E80" s="12"/>
      <c r="G80" s="25"/>
      <c r="I80" s="12"/>
      <c r="K80" s="28"/>
    </row>
    <row r="81">
      <c r="A81" s="12"/>
      <c r="C81" s="25"/>
      <c r="E81" s="12"/>
      <c r="G81" s="25"/>
      <c r="I81" s="12"/>
      <c r="K81" s="28"/>
    </row>
    <row r="82">
      <c r="A82" s="12"/>
      <c r="C82" s="25"/>
      <c r="E82" s="12"/>
      <c r="G82" s="25"/>
      <c r="I82" s="12"/>
      <c r="K82" s="28"/>
    </row>
    <row r="83">
      <c r="A83" s="12"/>
      <c r="C83" s="25"/>
      <c r="E83" s="12"/>
      <c r="G83" s="25"/>
      <c r="I83" s="12"/>
      <c r="K83" s="28"/>
    </row>
    <row r="84">
      <c r="A84" s="12"/>
      <c r="C84" s="25"/>
      <c r="E84" s="12"/>
      <c r="G84" s="25"/>
      <c r="I84" s="12"/>
      <c r="K84" s="28"/>
    </row>
    <row r="85">
      <c r="A85" s="12"/>
      <c r="C85" s="25"/>
      <c r="E85" s="12"/>
      <c r="G85" s="25"/>
      <c r="I85" s="12"/>
      <c r="K85" s="28"/>
    </row>
    <row r="86">
      <c r="A86" s="12"/>
      <c r="C86" s="25"/>
      <c r="E86" s="12"/>
      <c r="G86" s="25"/>
      <c r="I86" s="12"/>
      <c r="K86" s="28"/>
    </row>
    <row r="87">
      <c r="A87" s="12"/>
      <c r="C87" s="25"/>
      <c r="E87" s="12"/>
      <c r="G87" s="25"/>
      <c r="I87" s="12"/>
      <c r="K87" s="28"/>
    </row>
    <row r="88">
      <c r="A88" s="12"/>
      <c r="C88" s="25"/>
      <c r="E88" s="12"/>
      <c r="G88" s="25"/>
      <c r="I88" s="12"/>
      <c r="K88" s="28"/>
    </row>
    <row r="89">
      <c r="A89" s="12"/>
      <c r="C89" s="25"/>
      <c r="E89" s="12"/>
      <c r="G89" s="25"/>
      <c r="I89" s="12"/>
      <c r="K89" s="28"/>
    </row>
    <row r="90">
      <c r="A90" s="12"/>
      <c r="C90" s="25"/>
      <c r="E90" s="12"/>
      <c r="G90" s="25"/>
      <c r="I90" s="12"/>
      <c r="K90" s="28"/>
    </row>
    <row r="91">
      <c r="A91" s="12"/>
      <c r="C91" s="25"/>
      <c r="E91" s="12"/>
      <c r="G91" s="25"/>
      <c r="I91" s="12"/>
      <c r="K91" s="28"/>
    </row>
    <row r="92">
      <c r="A92" s="12"/>
      <c r="C92" s="25"/>
      <c r="E92" s="12"/>
      <c r="G92" s="25"/>
      <c r="I92" s="12"/>
      <c r="K92" s="28"/>
    </row>
    <row r="93">
      <c r="A93" s="12"/>
      <c r="C93" s="25"/>
      <c r="E93" s="12"/>
      <c r="G93" s="25"/>
      <c r="I93" s="12"/>
      <c r="K93" s="28"/>
    </row>
    <row r="94">
      <c r="A94" s="12"/>
      <c r="C94" s="25"/>
      <c r="E94" s="12"/>
      <c r="G94" s="25"/>
      <c r="I94" s="12"/>
      <c r="K94" s="28"/>
    </row>
    <row r="95">
      <c r="A95" s="12"/>
      <c r="C95" s="25"/>
      <c r="E95" s="12"/>
      <c r="G95" s="25"/>
      <c r="I95" s="12"/>
      <c r="K95" s="28"/>
    </row>
    <row r="96">
      <c r="A96" s="12"/>
      <c r="C96" s="25"/>
      <c r="E96" s="12"/>
      <c r="G96" s="25"/>
      <c r="I96" s="12"/>
      <c r="K96" s="28"/>
    </row>
    <row r="97">
      <c r="A97" s="12"/>
      <c r="C97" s="25"/>
      <c r="E97" s="12"/>
      <c r="G97" s="25"/>
      <c r="I97" s="12"/>
      <c r="K97" s="28"/>
    </row>
    <row r="98">
      <c r="A98" s="12"/>
      <c r="C98" s="25"/>
      <c r="E98" s="12"/>
      <c r="G98" s="25"/>
      <c r="I98" s="12"/>
      <c r="K98" s="28"/>
    </row>
    <row r="99">
      <c r="A99" s="12"/>
      <c r="C99" s="25"/>
      <c r="E99" s="12"/>
      <c r="G99" s="25"/>
      <c r="I99" s="12"/>
      <c r="K99" s="28"/>
    </row>
    <row r="100">
      <c r="A100" s="12"/>
      <c r="C100" s="25"/>
      <c r="E100" s="12"/>
      <c r="G100" s="25"/>
      <c r="I100" s="12"/>
      <c r="K100" s="28"/>
    </row>
    <row r="101">
      <c r="A101" s="12"/>
      <c r="C101" s="25"/>
      <c r="E101" s="12"/>
      <c r="G101" s="25"/>
      <c r="I101" s="12"/>
      <c r="K101" s="28"/>
    </row>
    <row r="102">
      <c r="A102" s="12"/>
      <c r="C102" s="25"/>
      <c r="E102" s="12"/>
      <c r="G102" s="25"/>
      <c r="I102" s="12"/>
      <c r="K102" s="28"/>
    </row>
    <row r="103">
      <c r="A103" s="12"/>
      <c r="C103" s="25"/>
      <c r="E103" s="12"/>
      <c r="G103" s="25"/>
      <c r="I103" s="12"/>
      <c r="K103" s="28"/>
    </row>
    <row r="104">
      <c r="A104" s="12"/>
      <c r="C104" s="25"/>
      <c r="E104" s="12"/>
      <c r="G104" s="25"/>
      <c r="I104" s="12"/>
      <c r="K104" s="28"/>
    </row>
    <row r="105">
      <c r="A105" s="12"/>
      <c r="C105" s="25"/>
      <c r="E105" s="12"/>
      <c r="G105" s="25"/>
      <c r="I105" s="12"/>
      <c r="K105" s="28"/>
    </row>
    <row r="106">
      <c r="A106" s="12"/>
      <c r="C106" s="25"/>
      <c r="E106" s="12"/>
      <c r="G106" s="25"/>
      <c r="I106" s="12"/>
      <c r="K106" s="28"/>
    </row>
    <row r="107">
      <c r="A107" s="12"/>
      <c r="C107" s="25"/>
      <c r="E107" s="12"/>
      <c r="G107" s="25"/>
      <c r="I107" s="12"/>
      <c r="K107" s="28"/>
    </row>
    <row r="108">
      <c r="A108" s="12"/>
      <c r="C108" s="25"/>
      <c r="E108" s="12"/>
      <c r="G108" s="25"/>
      <c r="I108" s="12"/>
      <c r="K108" s="28"/>
    </row>
    <row r="109">
      <c r="A109" s="12"/>
      <c r="C109" s="25"/>
      <c r="E109" s="12"/>
      <c r="G109" s="25"/>
      <c r="I109" s="12"/>
      <c r="K109" s="28"/>
    </row>
    <row r="110">
      <c r="A110" s="12"/>
      <c r="C110" s="25"/>
      <c r="E110" s="12"/>
      <c r="G110" s="25"/>
      <c r="I110" s="12"/>
      <c r="K110" s="28"/>
    </row>
    <row r="111">
      <c r="A111" s="12"/>
      <c r="C111" s="25"/>
      <c r="E111" s="12"/>
      <c r="G111" s="25"/>
      <c r="I111" s="12"/>
      <c r="K111" s="28"/>
    </row>
    <row r="112">
      <c r="A112" s="12"/>
      <c r="C112" s="25"/>
      <c r="E112" s="12"/>
      <c r="G112" s="25"/>
      <c r="I112" s="12"/>
      <c r="K112" s="28"/>
    </row>
    <row r="113">
      <c r="A113" s="12"/>
      <c r="C113" s="25"/>
      <c r="E113" s="12"/>
      <c r="G113" s="25"/>
      <c r="I113" s="12"/>
      <c r="K113" s="28"/>
    </row>
    <row r="114">
      <c r="A114" s="12"/>
      <c r="C114" s="25"/>
      <c r="E114" s="12"/>
      <c r="G114" s="25"/>
      <c r="I114" s="12"/>
      <c r="K114" s="28"/>
    </row>
    <row r="115">
      <c r="A115" s="12"/>
      <c r="C115" s="25"/>
      <c r="E115" s="12"/>
      <c r="G115" s="25"/>
      <c r="I115" s="12"/>
      <c r="K115" s="28"/>
    </row>
    <row r="116">
      <c r="A116" s="12"/>
      <c r="C116" s="25"/>
      <c r="E116" s="12"/>
      <c r="G116" s="25"/>
      <c r="I116" s="12"/>
      <c r="K116" s="28"/>
    </row>
    <row r="117">
      <c r="A117" s="12"/>
      <c r="C117" s="25"/>
      <c r="E117" s="12"/>
      <c r="G117" s="25"/>
      <c r="I117" s="12"/>
      <c r="K117" s="28"/>
    </row>
    <row r="118">
      <c r="A118" s="12"/>
      <c r="C118" s="25"/>
      <c r="E118" s="12"/>
      <c r="G118" s="25"/>
      <c r="I118" s="12"/>
      <c r="K118" s="28"/>
    </row>
    <row r="119">
      <c r="A119" s="12"/>
      <c r="C119" s="25"/>
      <c r="E119" s="12"/>
      <c r="G119" s="25"/>
      <c r="I119" s="12"/>
      <c r="K119" s="28"/>
    </row>
    <row r="120">
      <c r="A120" s="12"/>
      <c r="C120" s="25"/>
      <c r="E120" s="12"/>
      <c r="G120" s="25"/>
      <c r="I120" s="12"/>
      <c r="K120" s="28"/>
    </row>
    <row r="121">
      <c r="A121" s="12"/>
      <c r="C121" s="25"/>
      <c r="E121" s="12"/>
      <c r="G121" s="25"/>
      <c r="I121" s="12"/>
      <c r="K121" s="28"/>
    </row>
    <row r="122">
      <c r="A122" s="12"/>
      <c r="C122" s="25"/>
      <c r="E122" s="12"/>
      <c r="G122" s="25"/>
      <c r="I122" s="12"/>
      <c r="K122" s="28"/>
    </row>
    <row r="123">
      <c r="A123" s="12"/>
      <c r="C123" s="25"/>
      <c r="E123" s="12"/>
      <c r="G123" s="25"/>
      <c r="I123" s="12"/>
      <c r="K123" s="28"/>
    </row>
    <row r="124">
      <c r="A124" s="12"/>
      <c r="C124" s="25"/>
      <c r="E124" s="12"/>
      <c r="G124" s="25"/>
      <c r="I124" s="12"/>
      <c r="K124" s="28"/>
    </row>
    <row r="125">
      <c r="A125" s="12"/>
      <c r="C125" s="25"/>
      <c r="E125" s="12"/>
      <c r="G125" s="25"/>
      <c r="I125" s="12"/>
      <c r="K125" s="28"/>
    </row>
    <row r="126">
      <c r="A126" s="12"/>
      <c r="C126" s="25"/>
      <c r="E126" s="12"/>
      <c r="G126" s="25"/>
      <c r="I126" s="12"/>
      <c r="K126" s="28"/>
    </row>
    <row r="127">
      <c r="A127" s="12"/>
      <c r="C127" s="25"/>
      <c r="E127" s="12"/>
      <c r="G127" s="25"/>
      <c r="I127" s="12"/>
      <c r="K127" s="28"/>
    </row>
    <row r="128">
      <c r="A128" s="12"/>
      <c r="C128" s="25"/>
      <c r="E128" s="12"/>
      <c r="G128" s="25"/>
      <c r="I128" s="12"/>
      <c r="K128" s="28"/>
    </row>
    <row r="129">
      <c r="A129" s="12"/>
      <c r="C129" s="25"/>
      <c r="E129" s="12"/>
      <c r="G129" s="25"/>
      <c r="I129" s="12"/>
      <c r="K129" s="28"/>
    </row>
    <row r="130">
      <c r="A130" s="12"/>
      <c r="C130" s="25"/>
      <c r="E130" s="12"/>
      <c r="G130" s="25"/>
      <c r="I130" s="12"/>
      <c r="K130" s="28"/>
    </row>
    <row r="131">
      <c r="A131" s="12"/>
      <c r="C131" s="25"/>
      <c r="E131" s="12"/>
      <c r="G131" s="25"/>
      <c r="I131" s="12"/>
      <c r="K131" s="28"/>
    </row>
    <row r="132">
      <c r="A132" s="12"/>
      <c r="C132" s="25"/>
      <c r="E132" s="12"/>
      <c r="G132" s="25"/>
      <c r="I132" s="12"/>
      <c r="K132" s="28"/>
    </row>
    <row r="133">
      <c r="A133" s="12"/>
      <c r="C133" s="25"/>
      <c r="E133" s="12"/>
      <c r="G133" s="25"/>
      <c r="I133" s="12"/>
      <c r="K133" s="28"/>
    </row>
    <row r="134">
      <c r="A134" s="12"/>
      <c r="C134" s="25"/>
      <c r="E134" s="12"/>
      <c r="G134" s="25"/>
      <c r="I134" s="12"/>
      <c r="K134" s="28"/>
    </row>
    <row r="135">
      <c r="A135" s="12"/>
      <c r="C135" s="25"/>
      <c r="E135" s="12"/>
      <c r="G135" s="25"/>
      <c r="I135" s="12"/>
      <c r="K135" s="28"/>
    </row>
    <row r="136">
      <c r="A136" s="12"/>
      <c r="C136" s="25"/>
      <c r="E136" s="12"/>
      <c r="G136" s="25"/>
      <c r="I136" s="12"/>
      <c r="K136" s="28"/>
    </row>
    <row r="137">
      <c r="A137" s="12"/>
      <c r="C137" s="25"/>
      <c r="E137" s="12"/>
      <c r="G137" s="25"/>
      <c r="I137" s="12"/>
      <c r="K137" s="28"/>
    </row>
    <row r="138">
      <c r="A138" s="12"/>
      <c r="C138" s="25"/>
      <c r="E138" s="12"/>
      <c r="G138" s="25"/>
      <c r="I138" s="12"/>
      <c r="K138" s="28"/>
    </row>
    <row r="139">
      <c r="A139" s="12"/>
      <c r="C139" s="25"/>
      <c r="E139" s="12"/>
      <c r="G139" s="25"/>
      <c r="I139" s="12"/>
      <c r="K139" s="28"/>
    </row>
    <row r="140">
      <c r="A140" s="12"/>
      <c r="C140" s="25"/>
      <c r="E140" s="12"/>
      <c r="G140" s="25"/>
      <c r="I140" s="12"/>
      <c r="K140" s="28"/>
    </row>
    <row r="141">
      <c r="A141" s="12"/>
      <c r="C141" s="25"/>
      <c r="E141" s="12"/>
      <c r="G141" s="25"/>
      <c r="I141" s="12"/>
      <c r="K141" s="28"/>
    </row>
    <row r="142">
      <c r="A142" s="12"/>
      <c r="C142" s="25"/>
      <c r="E142" s="12"/>
      <c r="G142" s="25"/>
      <c r="I142" s="12"/>
      <c r="K142" s="28"/>
    </row>
    <row r="143">
      <c r="A143" s="12"/>
      <c r="C143" s="25"/>
      <c r="E143" s="12"/>
      <c r="G143" s="25"/>
      <c r="I143" s="12"/>
      <c r="K143" s="28"/>
    </row>
    <row r="144">
      <c r="A144" s="12"/>
      <c r="C144" s="25"/>
      <c r="E144" s="12"/>
      <c r="G144" s="25"/>
      <c r="I144" s="12"/>
      <c r="K144" s="28"/>
    </row>
    <row r="145">
      <c r="A145" s="12"/>
      <c r="C145" s="25"/>
      <c r="E145" s="12"/>
      <c r="G145" s="25"/>
      <c r="I145" s="12"/>
      <c r="K145" s="28"/>
    </row>
    <row r="146">
      <c r="A146" s="12"/>
      <c r="C146" s="25"/>
      <c r="E146" s="12"/>
      <c r="G146" s="25"/>
      <c r="I146" s="12"/>
      <c r="K146" s="28"/>
    </row>
    <row r="147">
      <c r="A147" s="12"/>
      <c r="C147" s="25"/>
      <c r="E147" s="12"/>
      <c r="G147" s="25"/>
      <c r="I147" s="12"/>
      <c r="K147" s="28"/>
    </row>
    <row r="148">
      <c r="A148" s="12"/>
      <c r="C148" s="25"/>
      <c r="E148" s="12"/>
      <c r="G148" s="25"/>
      <c r="I148" s="12"/>
      <c r="K148" s="28"/>
    </row>
    <row r="149">
      <c r="A149" s="12"/>
      <c r="C149" s="25"/>
      <c r="E149" s="12"/>
      <c r="G149" s="25"/>
      <c r="I149" s="12"/>
      <c r="K149" s="28"/>
    </row>
    <row r="150">
      <c r="A150" s="12"/>
      <c r="C150" s="25"/>
      <c r="E150" s="12"/>
      <c r="G150" s="25"/>
      <c r="I150" s="12"/>
      <c r="K150" s="28"/>
    </row>
    <row r="151">
      <c r="A151" s="12"/>
      <c r="C151" s="25"/>
      <c r="E151" s="12"/>
      <c r="G151" s="25"/>
      <c r="I151" s="12"/>
      <c r="K151" s="28"/>
    </row>
    <row r="152">
      <c r="A152" s="12"/>
      <c r="C152" s="25"/>
      <c r="E152" s="12"/>
      <c r="G152" s="25"/>
      <c r="I152" s="12"/>
      <c r="K152" s="28"/>
    </row>
    <row r="153">
      <c r="A153" s="12"/>
      <c r="C153" s="25"/>
      <c r="E153" s="12"/>
      <c r="G153" s="25"/>
      <c r="I153" s="12"/>
      <c r="K153" s="28"/>
    </row>
    <row r="154">
      <c r="A154" s="12"/>
      <c r="C154" s="25"/>
      <c r="E154" s="12"/>
      <c r="G154" s="25"/>
      <c r="I154" s="12"/>
      <c r="K154" s="28"/>
    </row>
    <row r="155">
      <c r="A155" s="12"/>
      <c r="C155" s="25"/>
      <c r="E155" s="12"/>
      <c r="G155" s="25"/>
      <c r="I155" s="12"/>
      <c r="K155" s="28"/>
    </row>
    <row r="156">
      <c r="A156" s="12"/>
      <c r="C156" s="25"/>
      <c r="E156" s="12"/>
      <c r="G156" s="25"/>
      <c r="I156" s="12"/>
      <c r="K156" s="28"/>
    </row>
    <row r="157">
      <c r="A157" s="12"/>
      <c r="C157" s="25"/>
      <c r="E157" s="12"/>
      <c r="G157" s="25"/>
      <c r="I157" s="12"/>
      <c r="K157" s="28"/>
    </row>
    <row r="158">
      <c r="A158" s="12"/>
      <c r="C158" s="25"/>
      <c r="E158" s="12"/>
      <c r="G158" s="25"/>
      <c r="I158" s="12"/>
      <c r="K158" s="28"/>
    </row>
    <row r="159">
      <c r="A159" s="12"/>
      <c r="C159" s="25"/>
      <c r="E159" s="12"/>
      <c r="G159" s="25"/>
      <c r="I159" s="12"/>
      <c r="K159" s="28"/>
    </row>
    <row r="160">
      <c r="A160" s="12"/>
      <c r="C160" s="25"/>
      <c r="E160" s="12"/>
      <c r="G160" s="25"/>
      <c r="I160" s="12"/>
      <c r="K160" s="28"/>
    </row>
    <row r="161">
      <c r="A161" s="12"/>
      <c r="C161" s="25"/>
      <c r="E161" s="12"/>
      <c r="G161" s="25"/>
      <c r="I161" s="12"/>
      <c r="K161" s="28"/>
    </row>
    <row r="162">
      <c r="A162" s="12"/>
      <c r="C162" s="25"/>
      <c r="E162" s="12"/>
      <c r="G162" s="25"/>
      <c r="I162" s="12"/>
      <c r="K162" s="28"/>
    </row>
    <row r="163">
      <c r="A163" s="12"/>
      <c r="C163" s="25"/>
      <c r="E163" s="12"/>
      <c r="G163" s="25"/>
      <c r="I163" s="12"/>
      <c r="K163" s="28"/>
    </row>
    <row r="164">
      <c r="A164" s="12"/>
      <c r="C164" s="25"/>
      <c r="E164" s="12"/>
      <c r="G164" s="25"/>
      <c r="I164" s="12"/>
      <c r="K164" s="28"/>
    </row>
    <row r="165">
      <c r="A165" s="12"/>
      <c r="C165" s="25"/>
      <c r="E165" s="12"/>
      <c r="G165" s="25"/>
      <c r="I165" s="12"/>
      <c r="K165" s="28"/>
    </row>
    <row r="166">
      <c r="A166" s="12"/>
      <c r="C166" s="25"/>
      <c r="E166" s="12"/>
      <c r="G166" s="25"/>
      <c r="I166" s="12"/>
      <c r="K166" s="28"/>
    </row>
    <row r="167">
      <c r="A167" s="12"/>
      <c r="C167" s="25"/>
      <c r="E167" s="12"/>
      <c r="G167" s="25"/>
      <c r="I167" s="12"/>
      <c r="K167" s="28"/>
    </row>
    <row r="168">
      <c r="A168" s="12"/>
      <c r="C168" s="25"/>
      <c r="E168" s="12"/>
      <c r="G168" s="25"/>
      <c r="I168" s="12"/>
      <c r="K168" s="28"/>
    </row>
    <row r="169">
      <c r="A169" s="12"/>
      <c r="C169" s="25"/>
      <c r="E169" s="12"/>
      <c r="G169" s="25"/>
      <c r="I169" s="12"/>
      <c r="K169" s="28"/>
    </row>
    <row r="170">
      <c r="A170" s="12"/>
      <c r="C170" s="25"/>
      <c r="E170" s="12"/>
      <c r="G170" s="25"/>
      <c r="I170" s="12"/>
      <c r="K170" s="28"/>
    </row>
    <row r="171">
      <c r="A171" s="12"/>
      <c r="C171" s="25"/>
      <c r="E171" s="12"/>
      <c r="G171" s="25"/>
      <c r="I171" s="12"/>
      <c r="K171" s="28"/>
    </row>
    <row r="172">
      <c r="A172" s="12"/>
      <c r="C172" s="25"/>
      <c r="E172" s="12"/>
      <c r="G172" s="25"/>
      <c r="I172" s="12"/>
      <c r="K172" s="28"/>
    </row>
    <row r="173">
      <c r="A173" s="12"/>
      <c r="C173" s="25"/>
      <c r="E173" s="12"/>
      <c r="G173" s="25"/>
      <c r="I173" s="12"/>
      <c r="K173" s="28"/>
    </row>
    <row r="174">
      <c r="A174" s="12"/>
      <c r="C174" s="25"/>
      <c r="E174" s="12"/>
      <c r="G174" s="25"/>
      <c r="I174" s="12"/>
      <c r="K174" s="28"/>
    </row>
    <row r="175">
      <c r="A175" s="12"/>
      <c r="C175" s="25"/>
      <c r="E175" s="12"/>
      <c r="G175" s="25"/>
      <c r="I175" s="12"/>
      <c r="K175" s="28"/>
    </row>
    <row r="176">
      <c r="A176" s="12"/>
      <c r="C176" s="25"/>
      <c r="E176" s="12"/>
      <c r="G176" s="25"/>
      <c r="I176" s="12"/>
      <c r="K176" s="28"/>
    </row>
    <row r="177">
      <c r="A177" s="12"/>
      <c r="C177" s="25"/>
      <c r="E177" s="12"/>
      <c r="G177" s="25"/>
      <c r="I177" s="12"/>
      <c r="K177" s="28"/>
    </row>
    <row r="178">
      <c r="A178" s="12"/>
      <c r="C178" s="25"/>
      <c r="E178" s="12"/>
      <c r="G178" s="25"/>
      <c r="I178" s="12"/>
      <c r="K178" s="28"/>
    </row>
    <row r="179">
      <c r="A179" s="12"/>
      <c r="C179" s="25"/>
      <c r="E179" s="12"/>
      <c r="G179" s="25"/>
      <c r="I179" s="12"/>
      <c r="K179" s="28"/>
    </row>
    <row r="180">
      <c r="A180" s="12"/>
      <c r="C180" s="25"/>
      <c r="E180" s="12"/>
      <c r="G180" s="25"/>
      <c r="I180" s="12"/>
      <c r="K180" s="28"/>
    </row>
    <row r="181">
      <c r="A181" s="12"/>
      <c r="C181" s="25"/>
      <c r="E181" s="12"/>
      <c r="G181" s="25"/>
      <c r="I181" s="12"/>
      <c r="K181" s="28"/>
    </row>
    <row r="182">
      <c r="A182" s="12"/>
      <c r="C182" s="25"/>
      <c r="E182" s="12"/>
      <c r="G182" s="25"/>
      <c r="I182" s="12"/>
      <c r="K182" s="28"/>
    </row>
    <row r="183">
      <c r="A183" s="12"/>
      <c r="C183" s="25"/>
      <c r="E183" s="12"/>
      <c r="G183" s="25"/>
      <c r="I183" s="12"/>
      <c r="K183" s="28"/>
    </row>
    <row r="184">
      <c r="A184" s="12"/>
      <c r="C184" s="25"/>
      <c r="E184" s="12"/>
      <c r="G184" s="25"/>
      <c r="I184" s="12"/>
      <c r="K184" s="28"/>
    </row>
    <row r="185">
      <c r="A185" s="12"/>
      <c r="C185" s="25"/>
      <c r="E185" s="12"/>
      <c r="G185" s="25"/>
      <c r="I185" s="12"/>
      <c r="K185" s="28"/>
    </row>
    <row r="186">
      <c r="A186" s="12"/>
      <c r="C186" s="25"/>
      <c r="E186" s="12"/>
      <c r="G186" s="25"/>
      <c r="I186" s="12"/>
      <c r="K186" s="28"/>
    </row>
    <row r="187">
      <c r="A187" s="12"/>
      <c r="C187" s="25"/>
      <c r="E187" s="12"/>
      <c r="G187" s="25"/>
      <c r="I187" s="12"/>
      <c r="K187" s="28"/>
    </row>
    <row r="188">
      <c r="A188" s="12"/>
      <c r="C188" s="25"/>
      <c r="E188" s="12"/>
      <c r="G188" s="25"/>
      <c r="I188" s="12"/>
      <c r="K188" s="28"/>
    </row>
    <row r="189">
      <c r="A189" s="12"/>
      <c r="C189" s="25"/>
      <c r="E189" s="12"/>
      <c r="G189" s="25"/>
      <c r="I189" s="12"/>
      <c r="K189" s="28"/>
    </row>
    <row r="190">
      <c r="A190" s="12"/>
      <c r="C190" s="25"/>
      <c r="E190" s="12"/>
      <c r="G190" s="25"/>
      <c r="I190" s="12"/>
      <c r="K190" s="28"/>
    </row>
    <row r="191">
      <c r="A191" s="12"/>
      <c r="C191" s="25"/>
      <c r="E191" s="12"/>
      <c r="G191" s="25"/>
      <c r="I191" s="12"/>
      <c r="K191" s="28"/>
    </row>
    <row r="192">
      <c r="A192" s="12"/>
      <c r="C192" s="25"/>
      <c r="E192" s="12"/>
      <c r="G192" s="25"/>
      <c r="I192" s="12"/>
      <c r="K192" s="28"/>
    </row>
    <row r="193">
      <c r="A193" s="12"/>
      <c r="C193" s="25"/>
      <c r="E193" s="12"/>
      <c r="G193" s="25"/>
      <c r="I193" s="12"/>
      <c r="K193" s="28"/>
    </row>
    <row r="194">
      <c r="A194" s="12"/>
      <c r="C194" s="25"/>
      <c r="E194" s="12"/>
      <c r="G194" s="25"/>
      <c r="I194" s="12"/>
      <c r="K194" s="28"/>
    </row>
    <row r="195">
      <c r="A195" s="12"/>
      <c r="C195" s="25"/>
      <c r="E195" s="12"/>
      <c r="G195" s="25"/>
      <c r="I195" s="12"/>
      <c r="K195" s="28"/>
    </row>
    <row r="196">
      <c r="A196" s="12"/>
      <c r="C196" s="25"/>
      <c r="E196" s="12"/>
      <c r="G196" s="25"/>
      <c r="I196" s="12"/>
      <c r="K196" s="28"/>
    </row>
    <row r="197">
      <c r="A197" s="12"/>
      <c r="C197" s="25"/>
      <c r="E197" s="12"/>
      <c r="G197" s="25"/>
      <c r="I197" s="12"/>
      <c r="K197" s="28"/>
    </row>
    <row r="198">
      <c r="A198" s="12"/>
      <c r="C198" s="25"/>
      <c r="E198" s="12"/>
      <c r="G198" s="25"/>
      <c r="I198" s="12"/>
      <c r="K198" s="28"/>
    </row>
    <row r="199">
      <c r="A199" s="12"/>
      <c r="C199" s="25"/>
      <c r="E199" s="12"/>
      <c r="G199" s="25"/>
      <c r="I199" s="12"/>
      <c r="K199" s="28"/>
    </row>
    <row r="200">
      <c r="A200" s="12"/>
      <c r="C200" s="25"/>
      <c r="E200" s="12"/>
      <c r="G200" s="25"/>
      <c r="I200" s="12"/>
      <c r="K200" s="28"/>
    </row>
    <row r="201">
      <c r="A201" s="12"/>
      <c r="C201" s="25"/>
      <c r="E201" s="12"/>
      <c r="G201" s="25"/>
      <c r="I201" s="12"/>
      <c r="K201" s="28"/>
    </row>
    <row r="202">
      <c r="A202" s="12"/>
      <c r="C202" s="25"/>
      <c r="E202" s="12"/>
      <c r="G202" s="25"/>
      <c r="I202" s="12"/>
      <c r="K202" s="28"/>
    </row>
    <row r="203">
      <c r="A203" s="12"/>
      <c r="C203" s="25"/>
      <c r="E203" s="12"/>
      <c r="G203" s="25"/>
      <c r="I203" s="12"/>
      <c r="K203" s="28"/>
    </row>
    <row r="204">
      <c r="A204" s="12"/>
      <c r="C204" s="25"/>
      <c r="E204" s="12"/>
      <c r="G204" s="25"/>
      <c r="I204" s="12"/>
      <c r="K204" s="28"/>
    </row>
    <row r="205">
      <c r="A205" s="12"/>
      <c r="C205" s="25"/>
      <c r="E205" s="12"/>
      <c r="G205" s="25"/>
      <c r="I205" s="12"/>
      <c r="K205" s="28"/>
    </row>
    <row r="206">
      <c r="A206" s="12"/>
      <c r="C206" s="25"/>
      <c r="E206" s="12"/>
      <c r="G206" s="25"/>
      <c r="I206" s="12"/>
      <c r="K206" s="28"/>
    </row>
    <row r="207">
      <c r="A207" s="12"/>
      <c r="C207" s="25"/>
      <c r="E207" s="12"/>
      <c r="G207" s="25"/>
      <c r="I207" s="12"/>
      <c r="K207" s="28"/>
    </row>
    <row r="208">
      <c r="A208" s="12"/>
      <c r="C208" s="25"/>
      <c r="E208" s="12"/>
      <c r="G208" s="25"/>
      <c r="I208" s="12"/>
      <c r="K208" s="28"/>
    </row>
    <row r="209">
      <c r="A209" s="12"/>
      <c r="C209" s="25"/>
      <c r="E209" s="12"/>
      <c r="G209" s="25"/>
      <c r="I209" s="12"/>
      <c r="K209" s="28"/>
    </row>
    <row r="210">
      <c r="A210" s="12"/>
      <c r="C210" s="25"/>
      <c r="E210" s="12"/>
      <c r="G210" s="25"/>
      <c r="I210" s="12"/>
      <c r="K210" s="28"/>
    </row>
    <row r="211">
      <c r="A211" s="12"/>
      <c r="C211" s="25"/>
      <c r="E211" s="12"/>
      <c r="G211" s="25"/>
      <c r="I211" s="12"/>
      <c r="K211" s="28"/>
    </row>
    <row r="212">
      <c r="A212" s="12"/>
      <c r="C212" s="25"/>
      <c r="E212" s="12"/>
      <c r="G212" s="25"/>
      <c r="I212" s="12"/>
      <c r="K212" s="28"/>
    </row>
    <row r="213">
      <c r="A213" s="12"/>
      <c r="C213" s="25"/>
      <c r="E213" s="12"/>
      <c r="G213" s="25"/>
      <c r="I213" s="12"/>
      <c r="K213" s="28"/>
    </row>
    <row r="214">
      <c r="A214" s="12"/>
      <c r="C214" s="25"/>
      <c r="E214" s="12"/>
      <c r="G214" s="25"/>
      <c r="I214" s="12"/>
      <c r="K214" s="28"/>
    </row>
    <row r="215">
      <c r="A215" s="12"/>
      <c r="C215" s="25"/>
      <c r="E215" s="12"/>
      <c r="G215" s="25"/>
      <c r="I215" s="12"/>
      <c r="K215" s="28"/>
    </row>
    <row r="216">
      <c r="A216" s="12"/>
      <c r="C216" s="25"/>
      <c r="E216" s="12"/>
      <c r="G216" s="25"/>
      <c r="I216" s="12"/>
      <c r="K216" s="28"/>
    </row>
    <row r="217">
      <c r="A217" s="12"/>
      <c r="C217" s="25"/>
      <c r="E217" s="12"/>
      <c r="G217" s="25"/>
      <c r="I217" s="12"/>
      <c r="K217" s="28"/>
    </row>
    <row r="218">
      <c r="A218" s="12"/>
      <c r="C218" s="25"/>
      <c r="E218" s="12"/>
      <c r="G218" s="25"/>
      <c r="I218" s="12"/>
      <c r="K218" s="28"/>
    </row>
    <row r="219">
      <c r="A219" s="12"/>
      <c r="C219" s="25"/>
      <c r="E219" s="12"/>
      <c r="G219" s="25"/>
      <c r="I219" s="12"/>
      <c r="K219" s="28"/>
    </row>
    <row r="220">
      <c r="A220" s="12"/>
      <c r="C220" s="25"/>
      <c r="E220" s="12"/>
      <c r="G220" s="25"/>
      <c r="I220" s="12"/>
      <c r="K220" s="28"/>
    </row>
    <row r="221">
      <c r="A221" s="12"/>
      <c r="C221" s="25"/>
      <c r="E221" s="12"/>
      <c r="G221" s="25"/>
      <c r="I221" s="12"/>
      <c r="K221" s="28"/>
    </row>
    <row r="222">
      <c r="A222" s="12"/>
      <c r="C222" s="25"/>
      <c r="E222" s="12"/>
      <c r="G222" s="25"/>
      <c r="I222" s="12"/>
      <c r="K222" s="28"/>
    </row>
    <row r="223">
      <c r="A223" s="12"/>
      <c r="C223" s="25"/>
      <c r="E223" s="12"/>
      <c r="G223" s="25"/>
      <c r="I223" s="12"/>
      <c r="K223" s="28"/>
    </row>
    <row r="224">
      <c r="A224" s="12"/>
      <c r="C224" s="25"/>
      <c r="E224" s="12"/>
      <c r="G224" s="25"/>
      <c r="I224" s="12"/>
      <c r="K224" s="28"/>
    </row>
    <row r="225">
      <c r="A225" s="12"/>
      <c r="C225" s="25"/>
      <c r="E225" s="12"/>
      <c r="G225" s="25"/>
      <c r="I225" s="12"/>
      <c r="K225" s="28"/>
    </row>
    <row r="226">
      <c r="A226" s="12"/>
      <c r="C226" s="25"/>
      <c r="E226" s="12"/>
      <c r="G226" s="25"/>
      <c r="I226" s="12"/>
      <c r="K226" s="28"/>
    </row>
    <row r="227">
      <c r="A227" s="12"/>
      <c r="C227" s="25"/>
      <c r="E227" s="12"/>
      <c r="G227" s="25"/>
      <c r="I227" s="12"/>
      <c r="K227" s="28"/>
    </row>
    <row r="228">
      <c r="A228" s="12"/>
      <c r="C228" s="25"/>
      <c r="E228" s="12"/>
      <c r="G228" s="25"/>
      <c r="I228" s="12"/>
      <c r="K228" s="28"/>
    </row>
    <row r="229">
      <c r="A229" s="12"/>
      <c r="C229" s="25"/>
      <c r="E229" s="12"/>
      <c r="G229" s="25"/>
      <c r="I229" s="12"/>
      <c r="K229" s="28"/>
    </row>
    <row r="230">
      <c r="A230" s="12"/>
      <c r="C230" s="25"/>
      <c r="E230" s="12"/>
      <c r="G230" s="25"/>
      <c r="I230" s="12"/>
      <c r="K230" s="28"/>
    </row>
    <row r="231">
      <c r="A231" s="12"/>
      <c r="C231" s="25"/>
      <c r="E231" s="12"/>
      <c r="G231" s="25"/>
      <c r="I231" s="12"/>
      <c r="K231" s="28"/>
    </row>
    <row r="232">
      <c r="A232" s="12"/>
      <c r="C232" s="25"/>
      <c r="E232" s="12"/>
      <c r="G232" s="25"/>
      <c r="I232" s="12"/>
      <c r="K232" s="28"/>
    </row>
    <row r="233">
      <c r="A233" s="12"/>
      <c r="C233" s="25"/>
      <c r="E233" s="12"/>
      <c r="G233" s="25"/>
      <c r="I233" s="12"/>
      <c r="K233" s="28"/>
    </row>
    <row r="234">
      <c r="A234" s="12"/>
      <c r="C234" s="25"/>
      <c r="E234" s="12"/>
      <c r="G234" s="25"/>
      <c r="I234" s="12"/>
      <c r="K234" s="28"/>
    </row>
    <row r="235">
      <c r="A235" s="12"/>
      <c r="C235" s="25"/>
      <c r="E235" s="12"/>
      <c r="G235" s="25"/>
      <c r="I235" s="12"/>
      <c r="K235" s="28"/>
    </row>
    <row r="236">
      <c r="A236" s="12"/>
      <c r="C236" s="25"/>
      <c r="E236" s="12"/>
      <c r="G236" s="25"/>
      <c r="I236" s="12"/>
      <c r="K236" s="28"/>
    </row>
    <row r="237">
      <c r="A237" s="12"/>
      <c r="C237" s="25"/>
      <c r="E237" s="12"/>
      <c r="G237" s="25"/>
      <c r="I237" s="12"/>
      <c r="K237" s="28"/>
    </row>
    <row r="238">
      <c r="A238" s="12"/>
      <c r="C238" s="25"/>
      <c r="E238" s="12"/>
      <c r="G238" s="25"/>
      <c r="I238" s="12"/>
      <c r="K238" s="28"/>
    </row>
    <row r="239">
      <c r="A239" s="12"/>
      <c r="C239" s="25"/>
      <c r="E239" s="12"/>
      <c r="G239" s="25"/>
      <c r="I239" s="12"/>
      <c r="K239" s="28"/>
    </row>
    <row r="240">
      <c r="A240" s="12"/>
      <c r="C240" s="25"/>
      <c r="E240" s="12"/>
      <c r="G240" s="25"/>
      <c r="I240" s="12"/>
      <c r="K240" s="28"/>
    </row>
    <row r="241">
      <c r="A241" s="12"/>
      <c r="C241" s="25"/>
      <c r="E241" s="12"/>
      <c r="G241" s="25"/>
      <c r="I241" s="12"/>
      <c r="K241" s="28"/>
    </row>
    <row r="242">
      <c r="A242" s="12"/>
      <c r="C242" s="25"/>
      <c r="E242" s="12"/>
      <c r="G242" s="25"/>
      <c r="I242" s="12"/>
      <c r="K242" s="28"/>
    </row>
    <row r="243">
      <c r="A243" s="12"/>
      <c r="C243" s="25"/>
      <c r="E243" s="12"/>
      <c r="G243" s="25"/>
      <c r="I243" s="12"/>
      <c r="K243" s="28"/>
    </row>
    <row r="244">
      <c r="A244" s="12"/>
      <c r="C244" s="25"/>
      <c r="E244" s="12"/>
      <c r="G244" s="25"/>
      <c r="I244" s="12"/>
      <c r="K244" s="28"/>
    </row>
    <row r="245">
      <c r="A245" s="12"/>
      <c r="C245" s="25"/>
      <c r="E245" s="12"/>
      <c r="G245" s="25"/>
      <c r="I245" s="12"/>
      <c r="K245" s="28"/>
    </row>
    <row r="246">
      <c r="A246" s="12"/>
      <c r="C246" s="25"/>
      <c r="E246" s="12"/>
      <c r="G246" s="25"/>
      <c r="I246" s="12"/>
      <c r="K246" s="28"/>
    </row>
    <row r="247">
      <c r="A247" s="12"/>
      <c r="C247" s="25"/>
      <c r="E247" s="12"/>
      <c r="G247" s="25"/>
      <c r="I247" s="12"/>
      <c r="K247" s="28"/>
    </row>
    <row r="248">
      <c r="A248" s="12"/>
      <c r="C248" s="25"/>
      <c r="E248" s="12"/>
      <c r="G248" s="25"/>
      <c r="I248" s="12"/>
      <c r="K248" s="28"/>
    </row>
    <row r="249">
      <c r="A249" s="12"/>
      <c r="C249" s="25"/>
      <c r="E249" s="12"/>
      <c r="G249" s="25"/>
      <c r="I249" s="12"/>
      <c r="K249" s="28"/>
    </row>
    <row r="250">
      <c r="A250" s="12"/>
      <c r="C250" s="25"/>
      <c r="E250" s="12"/>
      <c r="G250" s="25"/>
      <c r="I250" s="12"/>
      <c r="K250" s="28"/>
    </row>
    <row r="251">
      <c r="A251" s="12"/>
      <c r="C251" s="25"/>
      <c r="E251" s="12"/>
      <c r="G251" s="25"/>
      <c r="I251" s="12"/>
      <c r="K251" s="28"/>
    </row>
    <row r="252">
      <c r="A252" s="12"/>
      <c r="C252" s="25"/>
      <c r="E252" s="12"/>
      <c r="G252" s="25"/>
      <c r="I252" s="12"/>
      <c r="K252" s="28"/>
    </row>
    <row r="253">
      <c r="A253" s="12"/>
      <c r="C253" s="25"/>
      <c r="E253" s="12"/>
      <c r="G253" s="25"/>
      <c r="I253" s="12"/>
      <c r="K253" s="28"/>
    </row>
    <row r="254">
      <c r="A254" s="12"/>
      <c r="C254" s="25"/>
      <c r="E254" s="12"/>
      <c r="G254" s="25"/>
      <c r="I254" s="12"/>
      <c r="K254" s="28"/>
    </row>
    <row r="255">
      <c r="A255" s="12"/>
      <c r="C255" s="25"/>
      <c r="E255" s="12"/>
      <c r="G255" s="25"/>
      <c r="I255" s="12"/>
      <c r="K255" s="28"/>
    </row>
    <row r="256">
      <c r="A256" s="12"/>
      <c r="C256" s="25"/>
      <c r="E256" s="12"/>
      <c r="G256" s="25"/>
      <c r="I256" s="12"/>
      <c r="K256" s="28"/>
    </row>
    <row r="257">
      <c r="A257" s="12"/>
      <c r="C257" s="25"/>
      <c r="E257" s="12"/>
      <c r="G257" s="25"/>
      <c r="I257" s="12"/>
      <c r="K257" s="28"/>
    </row>
    <row r="258">
      <c r="A258" s="12"/>
      <c r="C258" s="25"/>
      <c r="E258" s="12"/>
      <c r="G258" s="25"/>
      <c r="I258" s="12"/>
      <c r="K258" s="28"/>
    </row>
    <row r="259">
      <c r="A259" s="12"/>
      <c r="C259" s="25"/>
      <c r="E259" s="12"/>
      <c r="G259" s="25"/>
      <c r="I259" s="12"/>
      <c r="K259" s="28"/>
    </row>
    <row r="260">
      <c r="A260" s="12"/>
      <c r="C260" s="25"/>
      <c r="E260" s="12"/>
      <c r="G260" s="25"/>
      <c r="I260" s="12"/>
      <c r="K260" s="28"/>
    </row>
    <row r="261">
      <c r="A261" s="12"/>
      <c r="C261" s="25"/>
      <c r="E261" s="12"/>
      <c r="G261" s="25"/>
      <c r="I261" s="12"/>
      <c r="K261" s="28"/>
    </row>
    <row r="262">
      <c r="A262" s="12"/>
      <c r="C262" s="25"/>
      <c r="E262" s="12"/>
      <c r="G262" s="25"/>
      <c r="I262" s="12"/>
      <c r="K262" s="28"/>
    </row>
    <row r="263">
      <c r="A263" s="12"/>
      <c r="C263" s="25"/>
      <c r="E263" s="12"/>
      <c r="G263" s="25"/>
      <c r="I263" s="12"/>
      <c r="K263" s="28"/>
    </row>
    <row r="264">
      <c r="A264" s="12"/>
      <c r="C264" s="25"/>
      <c r="E264" s="12"/>
      <c r="G264" s="25"/>
      <c r="I264" s="12"/>
      <c r="K264" s="28"/>
    </row>
    <row r="265">
      <c r="A265" s="12"/>
      <c r="C265" s="25"/>
      <c r="E265" s="12"/>
      <c r="G265" s="25"/>
      <c r="I265" s="12"/>
      <c r="K265" s="28"/>
    </row>
    <row r="266">
      <c r="A266" s="12"/>
      <c r="C266" s="25"/>
      <c r="E266" s="12"/>
      <c r="G266" s="25"/>
      <c r="I266" s="12"/>
      <c r="K266" s="28"/>
    </row>
    <row r="267">
      <c r="A267" s="12"/>
      <c r="C267" s="25"/>
      <c r="E267" s="12"/>
      <c r="G267" s="25"/>
      <c r="I267" s="12"/>
      <c r="K267" s="28"/>
    </row>
    <row r="268">
      <c r="A268" s="12"/>
      <c r="C268" s="25"/>
      <c r="E268" s="12"/>
      <c r="G268" s="25"/>
      <c r="I268" s="12"/>
      <c r="K268" s="28"/>
    </row>
    <row r="269">
      <c r="A269" s="12"/>
      <c r="C269" s="25"/>
      <c r="E269" s="12"/>
      <c r="G269" s="25"/>
      <c r="I269" s="12"/>
      <c r="K269" s="28"/>
    </row>
    <row r="270">
      <c r="A270" s="12"/>
      <c r="C270" s="25"/>
      <c r="E270" s="12"/>
      <c r="G270" s="25"/>
      <c r="I270" s="12"/>
      <c r="K270" s="28"/>
    </row>
    <row r="271">
      <c r="A271" s="12"/>
      <c r="C271" s="25"/>
      <c r="E271" s="12"/>
      <c r="G271" s="25"/>
      <c r="I271" s="12"/>
      <c r="K271" s="28"/>
    </row>
    <row r="272">
      <c r="A272" s="12"/>
      <c r="C272" s="25"/>
      <c r="E272" s="12"/>
      <c r="G272" s="25"/>
      <c r="I272" s="12"/>
      <c r="K272" s="28"/>
    </row>
    <row r="273">
      <c r="A273" s="12"/>
      <c r="C273" s="25"/>
      <c r="E273" s="12"/>
      <c r="G273" s="25"/>
      <c r="I273" s="12"/>
      <c r="K273" s="28"/>
    </row>
    <row r="274">
      <c r="A274" s="12"/>
      <c r="C274" s="25"/>
      <c r="E274" s="12"/>
      <c r="G274" s="25"/>
      <c r="I274" s="12"/>
      <c r="K274" s="28"/>
    </row>
    <row r="275">
      <c r="A275" s="12"/>
      <c r="C275" s="25"/>
      <c r="E275" s="12"/>
      <c r="G275" s="25"/>
      <c r="I275" s="12"/>
      <c r="K275" s="28"/>
    </row>
    <row r="276">
      <c r="A276" s="12"/>
      <c r="C276" s="25"/>
      <c r="E276" s="12"/>
      <c r="G276" s="25"/>
      <c r="I276" s="12"/>
      <c r="K276" s="28"/>
    </row>
    <row r="277">
      <c r="A277" s="12"/>
      <c r="C277" s="25"/>
      <c r="E277" s="12"/>
      <c r="G277" s="25"/>
      <c r="I277" s="12"/>
      <c r="K277" s="28"/>
    </row>
    <row r="278">
      <c r="A278" s="12"/>
      <c r="C278" s="25"/>
      <c r="E278" s="12"/>
      <c r="G278" s="25"/>
      <c r="I278" s="12"/>
      <c r="K278" s="28"/>
    </row>
    <row r="279">
      <c r="A279" s="12"/>
      <c r="C279" s="25"/>
      <c r="E279" s="12"/>
      <c r="G279" s="25"/>
      <c r="I279" s="12"/>
      <c r="K279" s="28"/>
    </row>
    <row r="280">
      <c r="A280" s="12"/>
      <c r="C280" s="25"/>
      <c r="E280" s="12"/>
      <c r="G280" s="25"/>
      <c r="I280" s="12"/>
      <c r="K280" s="28"/>
    </row>
    <row r="281">
      <c r="A281" s="12"/>
      <c r="C281" s="25"/>
      <c r="E281" s="12"/>
      <c r="G281" s="25"/>
      <c r="I281" s="12"/>
      <c r="K281" s="28"/>
    </row>
    <row r="282">
      <c r="A282" s="12"/>
      <c r="C282" s="25"/>
      <c r="E282" s="12"/>
      <c r="G282" s="25"/>
      <c r="I282" s="12"/>
      <c r="K282" s="28"/>
    </row>
    <row r="283">
      <c r="A283" s="12"/>
      <c r="C283" s="25"/>
      <c r="E283" s="12"/>
      <c r="G283" s="25"/>
      <c r="I283" s="12"/>
      <c r="K283" s="28"/>
    </row>
    <row r="284">
      <c r="A284" s="12"/>
      <c r="C284" s="25"/>
      <c r="E284" s="12"/>
      <c r="G284" s="25"/>
      <c r="I284" s="12"/>
      <c r="K284" s="28"/>
    </row>
    <row r="285">
      <c r="A285" s="12"/>
      <c r="C285" s="25"/>
      <c r="E285" s="12"/>
      <c r="G285" s="25"/>
      <c r="I285" s="12"/>
      <c r="K285" s="28"/>
    </row>
    <row r="286">
      <c r="A286" s="12"/>
      <c r="C286" s="25"/>
      <c r="E286" s="12"/>
      <c r="G286" s="25"/>
      <c r="I286" s="12"/>
      <c r="K286" s="28"/>
    </row>
    <row r="287">
      <c r="A287" s="12"/>
      <c r="C287" s="25"/>
      <c r="E287" s="12"/>
      <c r="G287" s="25"/>
      <c r="I287" s="12"/>
      <c r="K287" s="28"/>
    </row>
    <row r="288">
      <c r="A288" s="12"/>
      <c r="C288" s="25"/>
      <c r="E288" s="12"/>
      <c r="G288" s="25"/>
      <c r="I288" s="12"/>
      <c r="K288" s="28"/>
    </row>
    <row r="289">
      <c r="A289" s="12"/>
      <c r="C289" s="25"/>
      <c r="E289" s="12"/>
      <c r="G289" s="25"/>
      <c r="I289" s="12"/>
      <c r="K289" s="28"/>
    </row>
    <row r="290">
      <c r="A290" s="12"/>
      <c r="C290" s="25"/>
      <c r="E290" s="12"/>
      <c r="G290" s="25"/>
      <c r="I290" s="12"/>
      <c r="K290" s="28"/>
    </row>
    <row r="291">
      <c r="A291" s="12"/>
      <c r="C291" s="25"/>
      <c r="E291" s="12"/>
      <c r="G291" s="25"/>
      <c r="I291" s="12"/>
      <c r="K291" s="28"/>
    </row>
    <row r="292">
      <c r="A292" s="12"/>
      <c r="C292" s="25"/>
      <c r="E292" s="12"/>
      <c r="G292" s="25"/>
      <c r="I292" s="12"/>
      <c r="K292" s="28"/>
    </row>
    <row r="293">
      <c r="A293" s="12"/>
      <c r="C293" s="25"/>
      <c r="E293" s="12"/>
      <c r="G293" s="25"/>
      <c r="I293" s="12"/>
      <c r="K293" s="28"/>
    </row>
    <row r="294">
      <c r="A294" s="12"/>
      <c r="C294" s="25"/>
      <c r="E294" s="12"/>
      <c r="G294" s="25"/>
      <c r="I294" s="12"/>
      <c r="K294" s="28"/>
    </row>
    <row r="295">
      <c r="A295" s="12"/>
      <c r="C295" s="25"/>
      <c r="E295" s="12"/>
      <c r="G295" s="25"/>
      <c r="I295" s="12"/>
      <c r="K295" s="28"/>
    </row>
    <row r="296">
      <c r="A296" s="12"/>
      <c r="C296" s="25"/>
      <c r="E296" s="12"/>
      <c r="G296" s="25"/>
      <c r="I296" s="12"/>
      <c r="K296" s="28"/>
    </row>
    <row r="297">
      <c r="A297" s="12"/>
      <c r="C297" s="25"/>
      <c r="E297" s="12"/>
      <c r="G297" s="25"/>
      <c r="I297" s="12"/>
      <c r="K297" s="28"/>
    </row>
    <row r="298">
      <c r="A298" s="12"/>
      <c r="C298" s="25"/>
      <c r="E298" s="12"/>
      <c r="G298" s="25"/>
      <c r="I298" s="12"/>
      <c r="K298" s="28"/>
    </row>
    <row r="299">
      <c r="A299" s="12"/>
      <c r="C299" s="25"/>
      <c r="E299" s="12"/>
      <c r="G299" s="25"/>
      <c r="I299" s="12"/>
      <c r="K299" s="28"/>
    </row>
    <row r="300">
      <c r="A300" s="12"/>
      <c r="C300" s="25"/>
      <c r="E300" s="12"/>
      <c r="G300" s="25"/>
      <c r="I300" s="12"/>
      <c r="K300" s="28"/>
    </row>
    <row r="301">
      <c r="A301" s="12"/>
      <c r="C301" s="25"/>
      <c r="E301" s="12"/>
      <c r="G301" s="25"/>
      <c r="I301" s="12"/>
      <c r="K301" s="28"/>
    </row>
    <row r="302">
      <c r="A302" s="12"/>
      <c r="C302" s="25"/>
      <c r="E302" s="12"/>
      <c r="G302" s="25"/>
      <c r="I302" s="12"/>
      <c r="K302" s="28"/>
    </row>
    <row r="303">
      <c r="A303" s="12"/>
      <c r="C303" s="25"/>
      <c r="E303" s="12"/>
      <c r="G303" s="25"/>
      <c r="I303" s="12"/>
      <c r="K303" s="28"/>
    </row>
    <row r="304">
      <c r="A304" s="12"/>
      <c r="C304" s="25"/>
      <c r="E304" s="12"/>
      <c r="G304" s="25"/>
      <c r="I304" s="12"/>
      <c r="K304" s="28"/>
    </row>
    <row r="305">
      <c r="A305" s="12"/>
      <c r="C305" s="25"/>
      <c r="E305" s="12"/>
      <c r="G305" s="25"/>
      <c r="I305" s="12"/>
      <c r="K305" s="28"/>
    </row>
    <row r="306">
      <c r="A306" s="12"/>
      <c r="C306" s="25"/>
      <c r="E306" s="12"/>
      <c r="G306" s="25"/>
      <c r="I306" s="12"/>
      <c r="K306" s="28"/>
    </row>
    <row r="307">
      <c r="A307" s="12"/>
      <c r="C307" s="25"/>
      <c r="E307" s="12"/>
      <c r="G307" s="25"/>
      <c r="I307" s="12"/>
      <c r="K307" s="28"/>
    </row>
    <row r="308">
      <c r="A308" s="12"/>
      <c r="C308" s="25"/>
      <c r="E308" s="12"/>
      <c r="G308" s="25"/>
      <c r="I308" s="12"/>
      <c r="K308" s="28"/>
    </row>
    <row r="309">
      <c r="A309" s="12"/>
      <c r="C309" s="25"/>
      <c r="E309" s="12"/>
      <c r="G309" s="25"/>
      <c r="I309" s="12"/>
      <c r="K309" s="28"/>
    </row>
    <row r="310">
      <c r="A310" s="12"/>
      <c r="C310" s="25"/>
      <c r="E310" s="12"/>
      <c r="G310" s="25"/>
      <c r="I310" s="12"/>
      <c r="K310" s="28"/>
    </row>
    <row r="311">
      <c r="A311" s="12"/>
      <c r="C311" s="25"/>
      <c r="E311" s="12"/>
      <c r="G311" s="25"/>
      <c r="I311" s="12"/>
      <c r="K311" s="28"/>
    </row>
    <row r="312">
      <c r="A312" s="12"/>
      <c r="C312" s="25"/>
      <c r="E312" s="12"/>
      <c r="G312" s="25"/>
      <c r="I312" s="12"/>
      <c r="K312" s="28"/>
    </row>
    <row r="313">
      <c r="A313" s="12"/>
      <c r="C313" s="25"/>
      <c r="E313" s="12"/>
      <c r="G313" s="25"/>
      <c r="I313" s="12"/>
      <c r="K313" s="28"/>
    </row>
    <row r="314">
      <c r="A314" s="12"/>
      <c r="C314" s="25"/>
      <c r="E314" s="12"/>
      <c r="G314" s="25"/>
      <c r="I314" s="12"/>
      <c r="K314" s="28"/>
    </row>
    <row r="315">
      <c r="A315" s="12"/>
      <c r="C315" s="25"/>
      <c r="E315" s="12"/>
      <c r="G315" s="25"/>
      <c r="I315" s="12"/>
      <c r="K315" s="28"/>
    </row>
    <row r="316">
      <c r="A316" s="12"/>
      <c r="C316" s="25"/>
      <c r="E316" s="12"/>
      <c r="G316" s="25"/>
      <c r="I316" s="12"/>
      <c r="K316" s="28"/>
    </row>
    <row r="317">
      <c r="A317" s="12"/>
      <c r="C317" s="25"/>
      <c r="E317" s="12"/>
      <c r="G317" s="25"/>
      <c r="I317" s="12"/>
      <c r="K317" s="28"/>
    </row>
    <row r="318">
      <c r="A318" s="12"/>
      <c r="C318" s="25"/>
      <c r="E318" s="12"/>
      <c r="G318" s="25"/>
      <c r="I318" s="12"/>
      <c r="K318" s="28"/>
    </row>
    <row r="319">
      <c r="A319" s="12"/>
      <c r="C319" s="25"/>
      <c r="E319" s="12"/>
      <c r="G319" s="25"/>
      <c r="I319" s="12"/>
      <c r="K319" s="28"/>
    </row>
    <row r="320">
      <c r="A320" s="12"/>
      <c r="C320" s="25"/>
      <c r="E320" s="12"/>
      <c r="G320" s="25"/>
      <c r="I320" s="12"/>
      <c r="K320" s="28"/>
    </row>
    <row r="321">
      <c r="A321" s="12"/>
      <c r="C321" s="25"/>
      <c r="E321" s="12"/>
      <c r="G321" s="25"/>
      <c r="I321" s="12"/>
      <c r="K321" s="28"/>
    </row>
    <row r="322">
      <c r="A322" s="12"/>
      <c r="C322" s="25"/>
      <c r="E322" s="12"/>
      <c r="G322" s="25"/>
      <c r="I322" s="12"/>
      <c r="K322" s="28"/>
    </row>
    <row r="323">
      <c r="A323" s="12"/>
      <c r="C323" s="25"/>
      <c r="E323" s="12"/>
      <c r="G323" s="25"/>
      <c r="I323" s="12"/>
      <c r="K323" s="28"/>
    </row>
    <row r="324">
      <c r="A324" s="12"/>
      <c r="C324" s="25"/>
      <c r="E324" s="12"/>
      <c r="G324" s="25"/>
      <c r="I324" s="12"/>
      <c r="K324" s="28"/>
    </row>
    <row r="325">
      <c r="A325" s="12"/>
      <c r="C325" s="25"/>
      <c r="E325" s="12"/>
      <c r="G325" s="25"/>
      <c r="I325" s="12"/>
      <c r="K325" s="28"/>
    </row>
    <row r="326">
      <c r="A326" s="12"/>
      <c r="C326" s="25"/>
      <c r="E326" s="12"/>
      <c r="G326" s="25"/>
      <c r="I326" s="12"/>
      <c r="K326" s="28"/>
    </row>
    <row r="327">
      <c r="A327" s="12"/>
      <c r="C327" s="25"/>
      <c r="E327" s="12"/>
      <c r="G327" s="25"/>
      <c r="I327" s="12"/>
      <c r="K327" s="28"/>
    </row>
    <row r="328">
      <c r="A328" s="12"/>
      <c r="C328" s="25"/>
      <c r="E328" s="12"/>
      <c r="G328" s="25"/>
      <c r="I328" s="12"/>
      <c r="K328" s="28"/>
    </row>
    <row r="329">
      <c r="A329" s="12"/>
      <c r="C329" s="25"/>
      <c r="E329" s="12"/>
      <c r="G329" s="25"/>
      <c r="I329" s="12"/>
      <c r="K329" s="28"/>
    </row>
    <row r="330">
      <c r="A330" s="12"/>
      <c r="C330" s="25"/>
      <c r="E330" s="12"/>
      <c r="G330" s="25"/>
      <c r="I330" s="12"/>
      <c r="K330" s="28"/>
    </row>
    <row r="331">
      <c r="A331" s="12"/>
      <c r="C331" s="25"/>
      <c r="E331" s="12"/>
      <c r="G331" s="25"/>
      <c r="I331" s="12"/>
      <c r="K331" s="28"/>
    </row>
    <row r="332">
      <c r="A332" s="12"/>
      <c r="C332" s="25"/>
      <c r="E332" s="12"/>
      <c r="G332" s="25"/>
      <c r="I332" s="12"/>
      <c r="K332" s="28"/>
    </row>
    <row r="333">
      <c r="A333" s="12"/>
      <c r="C333" s="25"/>
      <c r="E333" s="12"/>
      <c r="G333" s="25"/>
      <c r="I333" s="12"/>
      <c r="K333" s="28"/>
    </row>
    <row r="334">
      <c r="A334" s="12"/>
      <c r="C334" s="25"/>
      <c r="E334" s="12"/>
      <c r="G334" s="25"/>
      <c r="I334" s="12"/>
      <c r="K334" s="28"/>
    </row>
    <row r="335">
      <c r="A335" s="12"/>
      <c r="C335" s="25"/>
      <c r="E335" s="12"/>
      <c r="G335" s="25"/>
      <c r="I335" s="12"/>
      <c r="K335" s="28"/>
    </row>
    <row r="336">
      <c r="A336" s="12"/>
      <c r="C336" s="25"/>
      <c r="E336" s="12"/>
      <c r="G336" s="25"/>
      <c r="I336" s="12"/>
      <c r="K336" s="28"/>
    </row>
    <row r="337">
      <c r="A337" s="12"/>
      <c r="C337" s="25"/>
      <c r="E337" s="12"/>
      <c r="G337" s="25"/>
      <c r="I337" s="12"/>
      <c r="K337" s="28"/>
    </row>
    <row r="338">
      <c r="A338" s="12"/>
      <c r="C338" s="25"/>
      <c r="E338" s="12"/>
      <c r="G338" s="25"/>
      <c r="I338" s="12"/>
      <c r="K338" s="28"/>
    </row>
    <row r="339">
      <c r="A339" s="12"/>
      <c r="C339" s="25"/>
      <c r="E339" s="12"/>
      <c r="G339" s="25"/>
      <c r="I339" s="12"/>
      <c r="K339" s="28"/>
    </row>
    <row r="340">
      <c r="A340" s="12"/>
      <c r="C340" s="25"/>
      <c r="E340" s="12"/>
      <c r="G340" s="25"/>
      <c r="I340" s="12"/>
      <c r="K340" s="28"/>
    </row>
    <row r="341">
      <c r="A341" s="12"/>
      <c r="C341" s="25"/>
      <c r="E341" s="12"/>
      <c r="G341" s="25"/>
      <c r="I341" s="12"/>
      <c r="K341" s="28"/>
    </row>
    <row r="342">
      <c r="A342" s="12"/>
      <c r="C342" s="25"/>
      <c r="E342" s="12"/>
      <c r="G342" s="25"/>
      <c r="I342" s="12"/>
      <c r="K342" s="28"/>
    </row>
    <row r="343">
      <c r="A343" s="12"/>
      <c r="C343" s="25"/>
      <c r="E343" s="12"/>
      <c r="G343" s="25"/>
      <c r="I343" s="12"/>
      <c r="K343" s="28"/>
    </row>
    <row r="344">
      <c r="A344" s="12"/>
      <c r="C344" s="25"/>
      <c r="E344" s="12"/>
      <c r="G344" s="25"/>
      <c r="I344" s="12"/>
      <c r="K344" s="28"/>
    </row>
    <row r="345">
      <c r="A345" s="12"/>
      <c r="C345" s="25"/>
      <c r="E345" s="12"/>
      <c r="G345" s="25"/>
      <c r="I345" s="12"/>
      <c r="K345" s="28"/>
    </row>
    <row r="346">
      <c r="A346" s="12"/>
      <c r="C346" s="25"/>
      <c r="E346" s="12"/>
      <c r="G346" s="25"/>
      <c r="I346" s="12"/>
      <c r="K346" s="28"/>
    </row>
    <row r="347">
      <c r="A347" s="12"/>
      <c r="C347" s="25"/>
      <c r="E347" s="12"/>
      <c r="G347" s="25"/>
      <c r="I347" s="12"/>
      <c r="K347" s="28"/>
    </row>
    <row r="348">
      <c r="A348" s="12"/>
      <c r="C348" s="25"/>
      <c r="E348" s="12"/>
      <c r="G348" s="25"/>
      <c r="I348" s="12"/>
      <c r="K348" s="28"/>
    </row>
    <row r="349">
      <c r="A349" s="12"/>
      <c r="C349" s="25"/>
      <c r="E349" s="12"/>
      <c r="G349" s="25"/>
      <c r="I349" s="12"/>
      <c r="K349" s="28"/>
    </row>
    <row r="350">
      <c r="A350" s="12"/>
      <c r="C350" s="25"/>
      <c r="E350" s="12"/>
      <c r="G350" s="25"/>
      <c r="I350" s="12"/>
      <c r="K350" s="28"/>
    </row>
    <row r="351">
      <c r="A351" s="12"/>
      <c r="C351" s="25"/>
      <c r="E351" s="12"/>
      <c r="G351" s="25"/>
      <c r="I351" s="12"/>
      <c r="K351" s="28"/>
    </row>
    <row r="352">
      <c r="A352" s="12"/>
      <c r="C352" s="25"/>
      <c r="E352" s="12"/>
      <c r="G352" s="25"/>
      <c r="I352" s="12"/>
      <c r="K352" s="28"/>
    </row>
    <row r="353">
      <c r="A353" s="12"/>
      <c r="C353" s="25"/>
      <c r="E353" s="12"/>
      <c r="G353" s="25"/>
      <c r="I353" s="12"/>
      <c r="K353" s="28"/>
    </row>
    <row r="354">
      <c r="A354" s="12"/>
      <c r="C354" s="25"/>
      <c r="E354" s="12"/>
      <c r="G354" s="25"/>
      <c r="I354" s="12"/>
      <c r="K354" s="28"/>
    </row>
    <row r="355">
      <c r="A355" s="12"/>
      <c r="C355" s="25"/>
      <c r="E355" s="12"/>
      <c r="G355" s="25"/>
      <c r="I355" s="12"/>
      <c r="K355" s="28"/>
    </row>
    <row r="356">
      <c r="A356" s="12"/>
      <c r="C356" s="25"/>
      <c r="E356" s="12"/>
      <c r="G356" s="25"/>
      <c r="I356" s="12"/>
      <c r="K356" s="28"/>
    </row>
    <row r="357">
      <c r="A357" s="12"/>
      <c r="C357" s="25"/>
      <c r="E357" s="12"/>
      <c r="G357" s="25"/>
      <c r="I357" s="12"/>
      <c r="K357" s="28"/>
    </row>
    <row r="358">
      <c r="A358" s="12"/>
      <c r="C358" s="25"/>
      <c r="E358" s="12"/>
      <c r="G358" s="25"/>
      <c r="I358" s="12"/>
      <c r="K358" s="28"/>
    </row>
    <row r="359">
      <c r="A359" s="12"/>
      <c r="C359" s="25"/>
      <c r="E359" s="12"/>
      <c r="G359" s="25"/>
      <c r="I359" s="12"/>
      <c r="K359" s="28"/>
    </row>
    <row r="360">
      <c r="A360" s="12"/>
      <c r="C360" s="25"/>
      <c r="E360" s="12"/>
      <c r="G360" s="25"/>
      <c r="I360" s="12"/>
      <c r="K360" s="28"/>
    </row>
    <row r="361">
      <c r="A361" s="12"/>
      <c r="C361" s="25"/>
      <c r="E361" s="12"/>
      <c r="G361" s="25"/>
      <c r="I361" s="12"/>
      <c r="K361" s="28"/>
    </row>
    <row r="362">
      <c r="A362" s="12"/>
      <c r="C362" s="25"/>
      <c r="E362" s="12"/>
      <c r="G362" s="25"/>
      <c r="I362" s="12"/>
      <c r="K362" s="28"/>
    </row>
    <row r="363">
      <c r="A363" s="12"/>
      <c r="C363" s="25"/>
      <c r="E363" s="12"/>
      <c r="G363" s="25"/>
      <c r="I363" s="12"/>
      <c r="K363" s="28"/>
    </row>
    <row r="364">
      <c r="A364" s="12"/>
      <c r="C364" s="25"/>
      <c r="E364" s="12"/>
      <c r="G364" s="25"/>
      <c r="I364" s="12"/>
      <c r="K364" s="28"/>
    </row>
    <row r="365">
      <c r="A365" s="12"/>
      <c r="C365" s="25"/>
      <c r="E365" s="12"/>
      <c r="G365" s="25"/>
      <c r="I365" s="12"/>
      <c r="K365" s="28"/>
    </row>
    <row r="366">
      <c r="A366" s="12"/>
      <c r="C366" s="25"/>
      <c r="E366" s="12"/>
      <c r="G366" s="25"/>
      <c r="I366" s="12"/>
      <c r="K366" s="28"/>
    </row>
    <row r="367">
      <c r="A367" s="12"/>
      <c r="C367" s="25"/>
      <c r="E367" s="12"/>
      <c r="G367" s="25"/>
      <c r="I367" s="12"/>
      <c r="K367" s="28"/>
    </row>
    <row r="368">
      <c r="A368" s="12"/>
      <c r="C368" s="25"/>
      <c r="E368" s="12"/>
      <c r="G368" s="25"/>
      <c r="I368" s="12"/>
      <c r="K368" s="28"/>
    </row>
    <row r="369">
      <c r="A369" s="12"/>
      <c r="C369" s="25"/>
      <c r="E369" s="12"/>
      <c r="G369" s="25"/>
      <c r="I369" s="12"/>
      <c r="K369" s="28"/>
    </row>
    <row r="370">
      <c r="A370" s="12"/>
      <c r="C370" s="25"/>
      <c r="E370" s="12"/>
      <c r="G370" s="25"/>
      <c r="I370" s="12"/>
      <c r="K370" s="28"/>
    </row>
    <row r="371">
      <c r="A371" s="12"/>
      <c r="C371" s="25"/>
      <c r="E371" s="12"/>
      <c r="G371" s="25"/>
      <c r="I371" s="12"/>
      <c r="K371" s="28"/>
    </row>
    <row r="372">
      <c r="A372" s="12"/>
      <c r="C372" s="25"/>
      <c r="E372" s="12"/>
      <c r="G372" s="25"/>
      <c r="I372" s="12"/>
      <c r="K372" s="28"/>
    </row>
    <row r="373">
      <c r="A373" s="12"/>
      <c r="C373" s="25"/>
      <c r="E373" s="12"/>
      <c r="G373" s="25"/>
      <c r="I373" s="12"/>
      <c r="K373" s="28"/>
    </row>
    <row r="374">
      <c r="A374" s="12"/>
      <c r="C374" s="25"/>
      <c r="E374" s="12"/>
      <c r="G374" s="25"/>
      <c r="I374" s="12"/>
      <c r="K374" s="28"/>
    </row>
    <row r="375">
      <c r="A375" s="12"/>
      <c r="C375" s="25"/>
      <c r="E375" s="12"/>
      <c r="G375" s="25"/>
      <c r="I375" s="12"/>
      <c r="K375" s="28"/>
    </row>
    <row r="376">
      <c r="A376" s="12"/>
      <c r="C376" s="25"/>
      <c r="E376" s="12"/>
      <c r="G376" s="25"/>
      <c r="I376" s="12"/>
      <c r="K376" s="28"/>
    </row>
    <row r="377">
      <c r="A377" s="12"/>
      <c r="C377" s="25"/>
      <c r="E377" s="12"/>
      <c r="G377" s="25"/>
      <c r="I377" s="12"/>
      <c r="K377" s="28"/>
    </row>
    <row r="378">
      <c r="A378" s="12"/>
      <c r="C378" s="25"/>
      <c r="E378" s="12"/>
      <c r="G378" s="25"/>
      <c r="I378" s="12"/>
      <c r="K378" s="28"/>
    </row>
    <row r="379">
      <c r="A379" s="12"/>
      <c r="C379" s="25"/>
      <c r="E379" s="12"/>
      <c r="G379" s="25"/>
      <c r="I379" s="12"/>
      <c r="K379" s="28"/>
    </row>
    <row r="380">
      <c r="A380" s="12"/>
      <c r="C380" s="25"/>
      <c r="E380" s="12"/>
      <c r="G380" s="25"/>
      <c r="I380" s="12"/>
      <c r="K380" s="28"/>
    </row>
    <row r="381">
      <c r="A381" s="12"/>
      <c r="C381" s="25"/>
      <c r="E381" s="12"/>
      <c r="G381" s="25"/>
      <c r="I381" s="12"/>
      <c r="K381" s="28"/>
    </row>
    <row r="382">
      <c r="A382" s="12"/>
      <c r="C382" s="25"/>
      <c r="E382" s="12"/>
      <c r="G382" s="25"/>
      <c r="I382" s="12"/>
      <c r="K382" s="28"/>
    </row>
    <row r="383">
      <c r="A383" s="12"/>
      <c r="C383" s="25"/>
      <c r="E383" s="12"/>
      <c r="G383" s="25"/>
      <c r="I383" s="12"/>
      <c r="K383" s="28"/>
    </row>
    <row r="384">
      <c r="A384" s="12"/>
      <c r="C384" s="25"/>
      <c r="E384" s="12"/>
      <c r="G384" s="25"/>
      <c r="I384" s="12"/>
      <c r="K384" s="28"/>
    </row>
    <row r="385">
      <c r="A385" s="12"/>
      <c r="C385" s="25"/>
      <c r="E385" s="12"/>
      <c r="G385" s="25"/>
      <c r="I385" s="12"/>
      <c r="K385" s="28"/>
    </row>
    <row r="386">
      <c r="A386" s="12"/>
      <c r="C386" s="25"/>
      <c r="E386" s="12"/>
      <c r="G386" s="25"/>
      <c r="I386" s="12"/>
      <c r="K386" s="28"/>
    </row>
    <row r="387">
      <c r="A387" s="12"/>
      <c r="C387" s="25"/>
      <c r="E387" s="12"/>
      <c r="G387" s="25"/>
      <c r="I387" s="12"/>
      <c r="K387" s="28"/>
    </row>
    <row r="388">
      <c r="A388" s="12"/>
      <c r="C388" s="25"/>
      <c r="E388" s="12"/>
      <c r="G388" s="25"/>
      <c r="I388" s="12"/>
      <c r="K388" s="28"/>
    </row>
    <row r="389">
      <c r="A389" s="12"/>
      <c r="C389" s="25"/>
      <c r="E389" s="12"/>
      <c r="G389" s="25"/>
      <c r="I389" s="12"/>
      <c r="K389" s="28"/>
    </row>
    <row r="390">
      <c r="A390" s="12"/>
      <c r="C390" s="25"/>
      <c r="E390" s="12"/>
      <c r="G390" s="25"/>
      <c r="I390" s="12"/>
      <c r="K390" s="28"/>
    </row>
    <row r="391">
      <c r="A391" s="12"/>
      <c r="C391" s="25"/>
      <c r="E391" s="12"/>
      <c r="G391" s="25"/>
      <c r="I391" s="12"/>
      <c r="K391" s="28"/>
    </row>
    <row r="392">
      <c r="A392" s="12"/>
      <c r="C392" s="25"/>
      <c r="E392" s="12"/>
      <c r="G392" s="25"/>
      <c r="I392" s="12"/>
      <c r="K392" s="28"/>
    </row>
    <row r="393">
      <c r="A393" s="12"/>
      <c r="C393" s="25"/>
      <c r="E393" s="12"/>
      <c r="G393" s="25"/>
      <c r="I393" s="12"/>
      <c r="K393" s="28"/>
    </row>
    <row r="394">
      <c r="A394" s="12"/>
      <c r="C394" s="25"/>
      <c r="E394" s="12"/>
      <c r="G394" s="25"/>
      <c r="I394" s="12"/>
      <c r="K394" s="28"/>
    </row>
    <row r="395">
      <c r="A395" s="12"/>
      <c r="C395" s="25"/>
      <c r="E395" s="12"/>
      <c r="G395" s="25"/>
      <c r="I395" s="12"/>
      <c r="K395" s="28"/>
    </row>
    <row r="396">
      <c r="A396" s="12"/>
      <c r="C396" s="25"/>
      <c r="E396" s="12"/>
      <c r="G396" s="25"/>
      <c r="I396" s="12"/>
      <c r="K396" s="28"/>
    </row>
    <row r="397">
      <c r="A397" s="12"/>
      <c r="C397" s="25"/>
      <c r="E397" s="12"/>
      <c r="G397" s="25"/>
      <c r="I397" s="12"/>
      <c r="K397" s="28"/>
    </row>
    <row r="398">
      <c r="A398" s="12"/>
      <c r="C398" s="25"/>
      <c r="E398" s="12"/>
      <c r="G398" s="25"/>
      <c r="I398" s="12"/>
      <c r="K398" s="28"/>
    </row>
    <row r="399">
      <c r="A399" s="12"/>
      <c r="C399" s="25"/>
      <c r="E399" s="12"/>
      <c r="G399" s="25"/>
      <c r="I399" s="12"/>
      <c r="K399" s="28"/>
    </row>
    <row r="400">
      <c r="A400" s="12"/>
      <c r="C400" s="25"/>
      <c r="E400" s="12"/>
      <c r="G400" s="25"/>
      <c r="I400" s="12"/>
      <c r="K400" s="28"/>
    </row>
    <row r="401">
      <c r="A401" s="12"/>
      <c r="C401" s="25"/>
      <c r="E401" s="12"/>
      <c r="G401" s="25"/>
      <c r="I401" s="12"/>
      <c r="K401" s="28"/>
    </row>
    <row r="402">
      <c r="A402" s="12"/>
      <c r="C402" s="25"/>
      <c r="E402" s="12"/>
      <c r="G402" s="25"/>
      <c r="I402" s="12"/>
      <c r="K402" s="28"/>
    </row>
    <row r="403">
      <c r="A403" s="12"/>
      <c r="C403" s="25"/>
      <c r="E403" s="12"/>
      <c r="G403" s="25"/>
      <c r="I403" s="12"/>
      <c r="K403" s="28"/>
    </row>
    <row r="404">
      <c r="A404" s="12"/>
      <c r="C404" s="25"/>
      <c r="E404" s="12"/>
      <c r="G404" s="25"/>
      <c r="I404" s="12"/>
      <c r="K404" s="28"/>
    </row>
    <row r="405">
      <c r="A405" s="12"/>
      <c r="C405" s="25"/>
      <c r="E405" s="12"/>
      <c r="G405" s="25"/>
      <c r="I405" s="12"/>
      <c r="K405" s="28"/>
    </row>
    <row r="406">
      <c r="A406" s="12"/>
      <c r="C406" s="25"/>
      <c r="E406" s="12"/>
      <c r="G406" s="25"/>
      <c r="I406" s="12"/>
      <c r="K406" s="28"/>
    </row>
    <row r="407">
      <c r="A407" s="12"/>
      <c r="C407" s="25"/>
      <c r="E407" s="12"/>
      <c r="G407" s="25"/>
      <c r="I407" s="12"/>
      <c r="K407" s="28"/>
    </row>
    <row r="408">
      <c r="A408" s="12"/>
      <c r="C408" s="25"/>
      <c r="E408" s="12"/>
      <c r="G408" s="25"/>
      <c r="I408" s="12"/>
      <c r="K408" s="28"/>
    </row>
    <row r="409">
      <c r="A409" s="12"/>
      <c r="C409" s="25"/>
      <c r="E409" s="12"/>
      <c r="G409" s="25"/>
      <c r="I409" s="12"/>
      <c r="K409" s="28"/>
    </row>
    <row r="410">
      <c r="A410" s="12"/>
      <c r="C410" s="25"/>
      <c r="E410" s="12"/>
      <c r="G410" s="25"/>
      <c r="I410" s="12"/>
      <c r="K410" s="28"/>
    </row>
    <row r="411">
      <c r="A411" s="12"/>
      <c r="C411" s="25"/>
      <c r="E411" s="12"/>
      <c r="G411" s="25"/>
      <c r="I411" s="12"/>
      <c r="K411" s="28"/>
    </row>
    <row r="412">
      <c r="A412" s="12"/>
      <c r="C412" s="25"/>
      <c r="E412" s="12"/>
      <c r="G412" s="25"/>
      <c r="I412" s="12"/>
      <c r="K412" s="28"/>
    </row>
    <row r="413">
      <c r="A413" s="12"/>
      <c r="C413" s="25"/>
      <c r="E413" s="12"/>
      <c r="G413" s="25"/>
      <c r="I413" s="12"/>
      <c r="K413" s="28"/>
    </row>
    <row r="414">
      <c r="A414" s="12"/>
      <c r="C414" s="25"/>
      <c r="E414" s="12"/>
      <c r="G414" s="25"/>
      <c r="I414" s="12"/>
      <c r="K414" s="28"/>
    </row>
    <row r="415">
      <c r="A415" s="12"/>
      <c r="C415" s="25"/>
      <c r="E415" s="12"/>
      <c r="G415" s="25"/>
      <c r="I415" s="12"/>
      <c r="K415" s="28"/>
    </row>
    <row r="416">
      <c r="A416" s="12"/>
      <c r="C416" s="25"/>
      <c r="E416" s="12"/>
      <c r="G416" s="25"/>
      <c r="I416" s="12"/>
      <c r="K416" s="28"/>
    </row>
    <row r="417">
      <c r="A417" s="12"/>
      <c r="C417" s="25"/>
      <c r="E417" s="12"/>
      <c r="G417" s="25"/>
      <c r="I417" s="12"/>
      <c r="K417" s="28"/>
    </row>
    <row r="418">
      <c r="A418" s="12"/>
      <c r="C418" s="25"/>
      <c r="E418" s="12"/>
      <c r="G418" s="25"/>
      <c r="I418" s="12"/>
      <c r="K418" s="28"/>
    </row>
    <row r="419">
      <c r="A419" s="12"/>
      <c r="C419" s="25"/>
      <c r="E419" s="12"/>
      <c r="G419" s="25"/>
      <c r="I419" s="12"/>
      <c r="K419" s="28"/>
    </row>
    <row r="420">
      <c r="A420" s="12"/>
      <c r="C420" s="25"/>
      <c r="E420" s="12"/>
      <c r="G420" s="25"/>
      <c r="I420" s="12"/>
      <c r="K420" s="28"/>
    </row>
    <row r="421">
      <c r="A421" s="12"/>
      <c r="C421" s="25"/>
      <c r="E421" s="12"/>
      <c r="G421" s="25"/>
      <c r="I421" s="12"/>
      <c r="K421" s="28"/>
    </row>
    <row r="422">
      <c r="A422" s="12"/>
      <c r="C422" s="25"/>
      <c r="E422" s="12"/>
      <c r="G422" s="25"/>
      <c r="I422" s="12"/>
      <c r="K422" s="28"/>
    </row>
    <row r="423">
      <c r="A423" s="12"/>
      <c r="C423" s="25"/>
      <c r="E423" s="12"/>
      <c r="G423" s="25"/>
      <c r="I423" s="12"/>
      <c r="K423" s="28"/>
    </row>
    <row r="424">
      <c r="A424" s="12"/>
      <c r="C424" s="25"/>
      <c r="E424" s="12"/>
      <c r="G424" s="25"/>
      <c r="I424" s="12"/>
      <c r="K424" s="28"/>
    </row>
    <row r="425">
      <c r="A425" s="12"/>
      <c r="C425" s="25"/>
      <c r="E425" s="12"/>
      <c r="G425" s="25"/>
      <c r="I425" s="12"/>
      <c r="K425" s="28"/>
    </row>
    <row r="426">
      <c r="A426" s="12"/>
      <c r="C426" s="25"/>
      <c r="E426" s="12"/>
      <c r="G426" s="25"/>
      <c r="I426" s="12"/>
      <c r="K426" s="28"/>
    </row>
    <row r="427">
      <c r="A427" s="12"/>
      <c r="C427" s="25"/>
      <c r="E427" s="12"/>
      <c r="G427" s="25"/>
      <c r="I427" s="12"/>
      <c r="K427" s="28"/>
    </row>
    <row r="428">
      <c r="A428" s="12"/>
      <c r="C428" s="25"/>
      <c r="E428" s="12"/>
      <c r="G428" s="25"/>
      <c r="I428" s="12"/>
      <c r="K428" s="28"/>
    </row>
    <row r="429">
      <c r="A429" s="12"/>
      <c r="C429" s="25"/>
      <c r="E429" s="12"/>
      <c r="G429" s="25"/>
      <c r="I429" s="12"/>
      <c r="K429" s="28"/>
    </row>
    <row r="430">
      <c r="A430" s="12"/>
      <c r="C430" s="25"/>
      <c r="E430" s="12"/>
      <c r="G430" s="25"/>
      <c r="I430" s="12"/>
      <c r="K430" s="28"/>
    </row>
    <row r="431">
      <c r="A431" s="12"/>
      <c r="C431" s="25"/>
      <c r="E431" s="12"/>
      <c r="G431" s="25"/>
      <c r="I431" s="12"/>
      <c r="K431" s="28"/>
    </row>
    <row r="432">
      <c r="A432" s="12"/>
      <c r="C432" s="25"/>
      <c r="E432" s="12"/>
      <c r="G432" s="25"/>
      <c r="I432" s="12"/>
      <c r="K432" s="28"/>
    </row>
    <row r="433">
      <c r="A433" s="12"/>
      <c r="C433" s="25"/>
      <c r="E433" s="12"/>
      <c r="G433" s="25"/>
      <c r="I433" s="12"/>
      <c r="K433" s="28"/>
    </row>
    <row r="434">
      <c r="A434" s="12"/>
      <c r="C434" s="25"/>
      <c r="E434" s="12"/>
      <c r="G434" s="25"/>
      <c r="I434" s="12"/>
      <c r="K434" s="28"/>
    </row>
    <row r="435">
      <c r="A435" s="12"/>
      <c r="C435" s="25"/>
      <c r="E435" s="12"/>
      <c r="G435" s="25"/>
      <c r="I435" s="12"/>
      <c r="K435" s="28"/>
    </row>
    <row r="436">
      <c r="A436" s="12"/>
      <c r="C436" s="25"/>
      <c r="E436" s="12"/>
      <c r="G436" s="25"/>
      <c r="I436" s="12"/>
      <c r="K436" s="28"/>
    </row>
    <row r="437">
      <c r="A437" s="12"/>
      <c r="C437" s="25"/>
      <c r="E437" s="12"/>
      <c r="G437" s="25"/>
      <c r="I437" s="12"/>
      <c r="K437" s="28"/>
    </row>
    <row r="438">
      <c r="A438" s="12"/>
      <c r="C438" s="25"/>
      <c r="E438" s="12"/>
      <c r="G438" s="25"/>
      <c r="I438" s="12"/>
      <c r="K438" s="28"/>
    </row>
    <row r="439">
      <c r="A439" s="12"/>
      <c r="C439" s="25"/>
      <c r="E439" s="12"/>
      <c r="G439" s="25"/>
      <c r="I439" s="12"/>
      <c r="K439" s="28"/>
    </row>
    <row r="440">
      <c r="A440" s="12"/>
      <c r="C440" s="25"/>
      <c r="E440" s="12"/>
      <c r="G440" s="25"/>
      <c r="I440" s="12"/>
      <c r="K440" s="28"/>
    </row>
    <row r="441">
      <c r="A441" s="12"/>
      <c r="C441" s="25"/>
      <c r="E441" s="12"/>
      <c r="G441" s="25"/>
      <c r="I441" s="12"/>
      <c r="K441" s="28"/>
    </row>
    <row r="442">
      <c r="A442" s="12"/>
      <c r="C442" s="25"/>
      <c r="E442" s="12"/>
      <c r="G442" s="25"/>
      <c r="I442" s="12"/>
      <c r="K442" s="28"/>
    </row>
    <row r="443">
      <c r="A443" s="12"/>
      <c r="C443" s="25"/>
      <c r="E443" s="12"/>
      <c r="G443" s="25"/>
      <c r="I443" s="12"/>
      <c r="K443" s="28"/>
    </row>
    <row r="444">
      <c r="A444" s="12"/>
      <c r="C444" s="25"/>
      <c r="E444" s="12"/>
      <c r="G444" s="25"/>
      <c r="I444" s="12"/>
      <c r="K444" s="28"/>
    </row>
    <row r="445">
      <c r="A445" s="12"/>
      <c r="C445" s="25"/>
      <c r="E445" s="12"/>
      <c r="G445" s="25"/>
      <c r="I445" s="12"/>
      <c r="K445" s="28"/>
    </row>
    <row r="446">
      <c r="A446" s="12"/>
      <c r="C446" s="25"/>
      <c r="E446" s="12"/>
      <c r="G446" s="25"/>
      <c r="I446" s="12"/>
      <c r="K446" s="28"/>
    </row>
    <row r="447">
      <c r="A447" s="12"/>
      <c r="C447" s="25"/>
      <c r="E447" s="12"/>
      <c r="G447" s="25"/>
      <c r="I447" s="12"/>
      <c r="K447" s="28"/>
    </row>
    <row r="448">
      <c r="A448" s="12"/>
      <c r="C448" s="25"/>
      <c r="E448" s="12"/>
      <c r="G448" s="25"/>
      <c r="I448" s="12"/>
      <c r="K448" s="28"/>
    </row>
    <row r="449">
      <c r="A449" s="12"/>
      <c r="C449" s="25"/>
      <c r="E449" s="12"/>
      <c r="G449" s="25"/>
      <c r="I449" s="12"/>
      <c r="K449" s="28"/>
    </row>
    <row r="450">
      <c r="A450" s="12"/>
      <c r="C450" s="25"/>
      <c r="E450" s="12"/>
      <c r="G450" s="25"/>
      <c r="I450" s="12"/>
      <c r="K450" s="28"/>
    </row>
    <row r="451">
      <c r="A451" s="12"/>
      <c r="C451" s="25"/>
      <c r="E451" s="12"/>
      <c r="G451" s="25"/>
      <c r="I451" s="12"/>
      <c r="K451" s="28"/>
    </row>
    <row r="452">
      <c r="A452" s="12"/>
      <c r="C452" s="25"/>
      <c r="E452" s="12"/>
      <c r="G452" s="25"/>
      <c r="I452" s="12"/>
      <c r="K452" s="28"/>
    </row>
    <row r="453">
      <c r="A453" s="12"/>
      <c r="C453" s="25"/>
      <c r="E453" s="12"/>
      <c r="G453" s="25"/>
      <c r="I453" s="12"/>
      <c r="K453" s="28"/>
    </row>
    <row r="454">
      <c r="A454" s="12"/>
      <c r="C454" s="25"/>
      <c r="E454" s="12"/>
      <c r="G454" s="25"/>
      <c r="I454" s="12"/>
      <c r="K454" s="28"/>
    </row>
    <row r="455">
      <c r="A455" s="12"/>
      <c r="C455" s="25"/>
      <c r="E455" s="12"/>
      <c r="G455" s="25"/>
      <c r="I455" s="12"/>
      <c r="K455" s="28"/>
    </row>
    <row r="456">
      <c r="A456" s="12"/>
      <c r="C456" s="25"/>
      <c r="E456" s="12"/>
      <c r="G456" s="25"/>
      <c r="I456" s="12"/>
      <c r="K456" s="28"/>
    </row>
    <row r="457">
      <c r="A457" s="12"/>
      <c r="C457" s="25"/>
      <c r="E457" s="12"/>
      <c r="G457" s="25"/>
      <c r="I457" s="12"/>
      <c r="K457" s="28"/>
    </row>
    <row r="458">
      <c r="A458" s="12"/>
      <c r="C458" s="25"/>
      <c r="E458" s="12"/>
      <c r="G458" s="25"/>
      <c r="I458" s="12"/>
      <c r="K458" s="28"/>
    </row>
    <row r="459">
      <c r="A459" s="12"/>
      <c r="C459" s="25"/>
      <c r="E459" s="12"/>
      <c r="G459" s="25"/>
      <c r="I459" s="12"/>
      <c r="K459" s="28"/>
    </row>
    <row r="460">
      <c r="A460" s="12"/>
      <c r="C460" s="25"/>
      <c r="E460" s="12"/>
      <c r="G460" s="25"/>
      <c r="I460" s="12"/>
      <c r="K460" s="28"/>
    </row>
    <row r="461">
      <c r="A461" s="12"/>
      <c r="C461" s="25"/>
      <c r="E461" s="12"/>
      <c r="G461" s="25"/>
      <c r="I461" s="12"/>
      <c r="K461" s="28"/>
    </row>
    <row r="462">
      <c r="A462" s="12"/>
      <c r="C462" s="25"/>
      <c r="E462" s="12"/>
      <c r="G462" s="25"/>
      <c r="I462" s="12"/>
      <c r="K462" s="28"/>
    </row>
    <row r="463">
      <c r="A463" s="12"/>
      <c r="C463" s="25"/>
      <c r="E463" s="12"/>
      <c r="G463" s="25"/>
      <c r="I463" s="12"/>
      <c r="K463" s="28"/>
    </row>
    <row r="464">
      <c r="A464" s="12"/>
      <c r="C464" s="25"/>
      <c r="E464" s="12"/>
      <c r="G464" s="25"/>
      <c r="I464" s="12"/>
      <c r="K464" s="28"/>
    </row>
    <row r="465">
      <c r="A465" s="12"/>
      <c r="C465" s="25"/>
      <c r="E465" s="12"/>
      <c r="G465" s="25"/>
      <c r="I465" s="12"/>
      <c r="K465" s="28"/>
    </row>
    <row r="466">
      <c r="A466" s="12"/>
      <c r="C466" s="25"/>
      <c r="E466" s="12"/>
      <c r="G466" s="25"/>
      <c r="I466" s="12"/>
      <c r="K466" s="28"/>
    </row>
    <row r="467">
      <c r="A467" s="12"/>
      <c r="C467" s="25"/>
      <c r="E467" s="12"/>
      <c r="G467" s="25"/>
      <c r="I467" s="12"/>
      <c r="K467" s="28"/>
    </row>
    <row r="468">
      <c r="A468" s="12"/>
      <c r="C468" s="25"/>
      <c r="E468" s="12"/>
      <c r="G468" s="25"/>
      <c r="I468" s="12"/>
      <c r="K468" s="28"/>
    </row>
    <row r="469">
      <c r="A469" s="12"/>
      <c r="C469" s="25"/>
      <c r="E469" s="12"/>
      <c r="G469" s="25"/>
      <c r="I469" s="12"/>
      <c r="K469" s="28"/>
    </row>
    <row r="470">
      <c r="A470" s="12"/>
      <c r="C470" s="25"/>
      <c r="E470" s="12"/>
      <c r="G470" s="25"/>
      <c r="I470" s="12"/>
      <c r="K470" s="28"/>
    </row>
    <row r="471">
      <c r="A471" s="12"/>
      <c r="C471" s="25"/>
      <c r="E471" s="12"/>
      <c r="G471" s="25"/>
      <c r="I471" s="12"/>
      <c r="K471" s="28"/>
    </row>
    <row r="472">
      <c r="A472" s="12"/>
      <c r="C472" s="25"/>
      <c r="E472" s="12"/>
      <c r="G472" s="25"/>
      <c r="I472" s="12"/>
      <c r="K472" s="28"/>
    </row>
    <row r="473">
      <c r="A473" s="12"/>
      <c r="C473" s="25"/>
      <c r="E473" s="12"/>
      <c r="G473" s="25"/>
      <c r="I473" s="12"/>
      <c r="K473" s="28"/>
    </row>
    <row r="474">
      <c r="A474" s="12"/>
      <c r="C474" s="25"/>
      <c r="E474" s="12"/>
      <c r="G474" s="25"/>
      <c r="I474" s="12"/>
      <c r="K474" s="28"/>
    </row>
    <row r="475">
      <c r="A475" s="12"/>
      <c r="C475" s="25"/>
      <c r="E475" s="12"/>
      <c r="G475" s="25"/>
      <c r="I475" s="12"/>
      <c r="K475" s="28"/>
    </row>
    <row r="476">
      <c r="A476" s="12"/>
      <c r="C476" s="25"/>
      <c r="E476" s="12"/>
      <c r="G476" s="25"/>
      <c r="I476" s="12"/>
      <c r="K476" s="28"/>
    </row>
    <row r="477">
      <c r="A477" s="12"/>
      <c r="C477" s="25"/>
      <c r="E477" s="12"/>
      <c r="G477" s="25"/>
      <c r="I477" s="12"/>
      <c r="K477" s="28"/>
    </row>
    <row r="478">
      <c r="A478" s="12"/>
      <c r="C478" s="25"/>
      <c r="E478" s="12"/>
      <c r="G478" s="25"/>
      <c r="I478" s="12"/>
      <c r="K478" s="28"/>
    </row>
    <row r="479">
      <c r="A479" s="12"/>
      <c r="C479" s="25"/>
      <c r="E479" s="12"/>
      <c r="G479" s="25"/>
      <c r="I479" s="12"/>
      <c r="K479" s="28"/>
    </row>
    <row r="480">
      <c r="A480" s="12"/>
      <c r="C480" s="25"/>
      <c r="E480" s="12"/>
      <c r="G480" s="25"/>
      <c r="I480" s="12"/>
      <c r="K480" s="28"/>
    </row>
    <row r="481">
      <c r="A481" s="12"/>
      <c r="C481" s="25"/>
      <c r="E481" s="12"/>
      <c r="G481" s="25"/>
      <c r="I481" s="12"/>
      <c r="K481" s="28"/>
    </row>
    <row r="482">
      <c r="A482" s="12"/>
      <c r="C482" s="25"/>
      <c r="E482" s="12"/>
      <c r="G482" s="25"/>
      <c r="I482" s="12"/>
      <c r="K482" s="28"/>
    </row>
    <row r="483">
      <c r="A483" s="12"/>
      <c r="C483" s="25"/>
      <c r="E483" s="12"/>
      <c r="G483" s="25"/>
      <c r="I483" s="12"/>
      <c r="K483" s="28"/>
    </row>
    <row r="484">
      <c r="A484" s="12"/>
      <c r="C484" s="25"/>
      <c r="E484" s="12"/>
      <c r="G484" s="25"/>
      <c r="I484" s="12"/>
      <c r="K484" s="28"/>
    </row>
    <row r="485">
      <c r="A485" s="12"/>
      <c r="C485" s="25"/>
      <c r="E485" s="12"/>
      <c r="G485" s="25"/>
      <c r="I485" s="12"/>
      <c r="K485" s="28"/>
    </row>
    <row r="486">
      <c r="A486" s="12"/>
      <c r="C486" s="25"/>
      <c r="E486" s="12"/>
      <c r="G486" s="25"/>
      <c r="I486" s="12"/>
      <c r="K486" s="28"/>
    </row>
    <row r="487">
      <c r="A487" s="12"/>
      <c r="C487" s="25"/>
      <c r="E487" s="12"/>
      <c r="G487" s="25"/>
      <c r="I487" s="12"/>
      <c r="K487" s="28"/>
    </row>
    <row r="488">
      <c r="A488" s="12"/>
      <c r="C488" s="25"/>
      <c r="E488" s="12"/>
      <c r="G488" s="25"/>
      <c r="I488" s="12"/>
      <c r="K488" s="28"/>
    </row>
    <row r="489">
      <c r="A489" s="12"/>
      <c r="C489" s="25"/>
      <c r="E489" s="12"/>
      <c r="G489" s="25"/>
      <c r="I489" s="12"/>
      <c r="K489" s="28"/>
    </row>
    <row r="490">
      <c r="A490" s="12"/>
      <c r="C490" s="25"/>
      <c r="E490" s="12"/>
      <c r="G490" s="25"/>
      <c r="I490" s="12"/>
      <c r="K490" s="28"/>
    </row>
    <row r="491">
      <c r="A491" s="12"/>
      <c r="C491" s="25"/>
      <c r="E491" s="12"/>
      <c r="G491" s="25"/>
      <c r="I491" s="12"/>
      <c r="K491" s="28"/>
    </row>
    <row r="492">
      <c r="A492" s="12"/>
      <c r="C492" s="25"/>
      <c r="E492" s="12"/>
      <c r="G492" s="25"/>
      <c r="I492" s="12"/>
      <c r="K492" s="28"/>
    </row>
    <row r="493">
      <c r="A493" s="12"/>
      <c r="C493" s="25"/>
      <c r="E493" s="12"/>
      <c r="G493" s="25"/>
      <c r="I493" s="12"/>
      <c r="K493" s="28"/>
    </row>
    <row r="494">
      <c r="A494" s="12"/>
      <c r="C494" s="25"/>
      <c r="E494" s="12"/>
      <c r="G494" s="25"/>
      <c r="I494" s="12"/>
      <c r="K494" s="28"/>
    </row>
    <row r="495">
      <c r="A495" s="12"/>
      <c r="C495" s="25"/>
      <c r="E495" s="12"/>
      <c r="G495" s="25"/>
      <c r="I495" s="12"/>
      <c r="K495" s="28"/>
    </row>
    <row r="496">
      <c r="A496" s="12"/>
      <c r="C496" s="25"/>
      <c r="E496" s="12"/>
      <c r="G496" s="25"/>
      <c r="I496" s="12"/>
      <c r="K496" s="28"/>
    </row>
    <row r="497">
      <c r="A497" s="12"/>
      <c r="C497" s="25"/>
      <c r="E497" s="12"/>
      <c r="G497" s="25"/>
      <c r="I497" s="12"/>
      <c r="K497" s="28"/>
    </row>
    <row r="498">
      <c r="A498" s="12"/>
      <c r="C498" s="25"/>
      <c r="E498" s="12"/>
      <c r="G498" s="25"/>
      <c r="I498" s="12"/>
      <c r="K498" s="28"/>
    </row>
    <row r="499">
      <c r="A499" s="12"/>
      <c r="C499" s="25"/>
      <c r="E499" s="12"/>
      <c r="G499" s="25"/>
      <c r="I499" s="12"/>
      <c r="K499" s="28"/>
    </row>
    <row r="500">
      <c r="A500" s="12"/>
      <c r="C500" s="25"/>
      <c r="E500" s="12"/>
      <c r="G500" s="25"/>
      <c r="I500" s="12"/>
      <c r="K500" s="28"/>
    </row>
    <row r="501">
      <c r="A501" s="12"/>
      <c r="C501" s="25"/>
      <c r="E501" s="12"/>
      <c r="G501" s="25"/>
      <c r="I501" s="12"/>
      <c r="K501" s="28"/>
    </row>
    <row r="502">
      <c r="A502" s="12"/>
      <c r="C502" s="25"/>
      <c r="E502" s="12"/>
      <c r="G502" s="25"/>
      <c r="I502" s="12"/>
      <c r="K502" s="28"/>
    </row>
    <row r="503">
      <c r="A503" s="12"/>
      <c r="C503" s="25"/>
      <c r="E503" s="12"/>
      <c r="G503" s="25"/>
      <c r="I503" s="12"/>
      <c r="K503" s="28"/>
    </row>
    <row r="504">
      <c r="A504" s="12"/>
      <c r="C504" s="25"/>
      <c r="E504" s="12"/>
      <c r="G504" s="25"/>
      <c r="I504" s="12"/>
      <c r="K504" s="28"/>
    </row>
    <row r="505">
      <c r="A505" s="12"/>
      <c r="C505" s="25"/>
      <c r="E505" s="12"/>
      <c r="G505" s="25"/>
      <c r="I505" s="12"/>
      <c r="K505" s="28"/>
    </row>
    <row r="506">
      <c r="A506" s="12"/>
      <c r="C506" s="25"/>
      <c r="E506" s="12"/>
      <c r="G506" s="25"/>
      <c r="I506" s="12"/>
      <c r="K506" s="28"/>
    </row>
    <row r="507">
      <c r="A507" s="12"/>
      <c r="C507" s="25"/>
      <c r="E507" s="12"/>
      <c r="G507" s="25"/>
      <c r="I507" s="12"/>
      <c r="K507" s="28"/>
    </row>
    <row r="508">
      <c r="A508" s="12"/>
      <c r="C508" s="25"/>
      <c r="E508" s="12"/>
      <c r="G508" s="25"/>
      <c r="I508" s="12"/>
      <c r="K508" s="28"/>
    </row>
    <row r="509">
      <c r="A509" s="12"/>
      <c r="C509" s="25"/>
      <c r="E509" s="12"/>
      <c r="G509" s="25"/>
      <c r="I509" s="12"/>
      <c r="K509" s="28"/>
    </row>
    <row r="510">
      <c r="A510" s="12"/>
      <c r="C510" s="25"/>
      <c r="E510" s="12"/>
      <c r="G510" s="25"/>
      <c r="I510" s="12"/>
      <c r="K510" s="28"/>
    </row>
    <row r="511">
      <c r="A511" s="12"/>
      <c r="C511" s="25"/>
      <c r="E511" s="12"/>
      <c r="G511" s="25"/>
      <c r="I511" s="12"/>
      <c r="K511" s="28"/>
    </row>
    <row r="512">
      <c r="A512" s="12"/>
      <c r="C512" s="25"/>
      <c r="E512" s="12"/>
      <c r="G512" s="25"/>
      <c r="I512" s="12"/>
      <c r="K512" s="28"/>
    </row>
    <row r="513">
      <c r="A513" s="12"/>
      <c r="C513" s="25"/>
      <c r="E513" s="12"/>
      <c r="G513" s="25"/>
      <c r="I513" s="12"/>
      <c r="K513" s="28"/>
    </row>
    <row r="514">
      <c r="A514" s="12"/>
      <c r="C514" s="25"/>
      <c r="E514" s="12"/>
      <c r="G514" s="25"/>
      <c r="I514" s="12"/>
      <c r="K514" s="28"/>
    </row>
    <row r="515">
      <c r="A515" s="12"/>
      <c r="C515" s="25"/>
      <c r="E515" s="12"/>
      <c r="G515" s="25"/>
      <c r="I515" s="12"/>
      <c r="K515" s="28"/>
    </row>
    <row r="516">
      <c r="A516" s="12"/>
      <c r="C516" s="25"/>
      <c r="E516" s="12"/>
      <c r="G516" s="25"/>
      <c r="I516" s="12"/>
      <c r="K516" s="28"/>
    </row>
    <row r="517">
      <c r="A517" s="12"/>
      <c r="C517" s="25"/>
      <c r="E517" s="12"/>
      <c r="G517" s="25"/>
      <c r="I517" s="12"/>
      <c r="K517" s="28"/>
    </row>
    <row r="518">
      <c r="A518" s="12"/>
      <c r="C518" s="25"/>
      <c r="E518" s="12"/>
      <c r="G518" s="25"/>
      <c r="I518" s="12"/>
      <c r="K518" s="28"/>
    </row>
    <row r="519">
      <c r="A519" s="12"/>
      <c r="C519" s="25"/>
      <c r="E519" s="12"/>
      <c r="G519" s="25"/>
      <c r="I519" s="12"/>
      <c r="K519" s="28"/>
    </row>
    <row r="520">
      <c r="A520" s="12"/>
      <c r="C520" s="25"/>
      <c r="E520" s="12"/>
      <c r="G520" s="25"/>
      <c r="I520" s="12"/>
      <c r="K520" s="28"/>
    </row>
    <row r="521">
      <c r="A521" s="12"/>
      <c r="C521" s="25"/>
      <c r="E521" s="12"/>
      <c r="G521" s="25"/>
      <c r="I521" s="12"/>
      <c r="K521" s="28"/>
    </row>
    <row r="522">
      <c r="A522" s="12"/>
      <c r="C522" s="25"/>
      <c r="E522" s="12"/>
      <c r="G522" s="25"/>
      <c r="I522" s="12"/>
      <c r="K522" s="28"/>
    </row>
    <row r="523">
      <c r="A523" s="12"/>
      <c r="C523" s="25"/>
      <c r="E523" s="12"/>
      <c r="G523" s="25"/>
      <c r="I523" s="12"/>
      <c r="K523" s="28"/>
    </row>
    <row r="524">
      <c r="A524" s="12"/>
      <c r="C524" s="25"/>
      <c r="E524" s="12"/>
      <c r="G524" s="25"/>
      <c r="I524" s="12"/>
      <c r="K524" s="28"/>
    </row>
    <row r="525">
      <c r="A525" s="12"/>
      <c r="C525" s="25"/>
      <c r="E525" s="12"/>
      <c r="G525" s="25"/>
      <c r="I525" s="12"/>
      <c r="K525" s="28"/>
    </row>
    <row r="526">
      <c r="A526" s="12"/>
      <c r="C526" s="25"/>
      <c r="E526" s="12"/>
      <c r="G526" s="25"/>
      <c r="I526" s="12"/>
      <c r="K526" s="28"/>
    </row>
    <row r="527">
      <c r="A527" s="12"/>
      <c r="C527" s="25"/>
      <c r="E527" s="12"/>
      <c r="G527" s="25"/>
      <c r="I527" s="12"/>
      <c r="K527" s="28"/>
    </row>
    <row r="528">
      <c r="A528" s="12"/>
      <c r="C528" s="25"/>
      <c r="E528" s="12"/>
      <c r="G528" s="25"/>
      <c r="I528" s="12"/>
      <c r="K528" s="28"/>
    </row>
    <row r="529">
      <c r="A529" s="12"/>
      <c r="C529" s="25"/>
      <c r="E529" s="12"/>
      <c r="G529" s="25"/>
      <c r="I529" s="12"/>
      <c r="K529" s="28"/>
    </row>
    <row r="530">
      <c r="A530" s="12"/>
      <c r="C530" s="25"/>
      <c r="E530" s="12"/>
      <c r="G530" s="25"/>
      <c r="I530" s="12"/>
      <c r="K530" s="28"/>
    </row>
    <row r="531">
      <c r="A531" s="12"/>
      <c r="C531" s="25"/>
      <c r="E531" s="12"/>
      <c r="G531" s="25"/>
      <c r="I531" s="12"/>
      <c r="K531" s="28"/>
    </row>
    <row r="532">
      <c r="A532" s="12"/>
      <c r="C532" s="25"/>
      <c r="E532" s="12"/>
      <c r="G532" s="25"/>
      <c r="I532" s="12"/>
      <c r="K532" s="28"/>
    </row>
    <row r="533">
      <c r="A533" s="12"/>
      <c r="C533" s="25"/>
      <c r="E533" s="12"/>
      <c r="G533" s="25"/>
      <c r="I533" s="12"/>
      <c r="K533" s="28"/>
    </row>
    <row r="534">
      <c r="A534" s="12"/>
      <c r="C534" s="25"/>
      <c r="E534" s="12"/>
      <c r="G534" s="25"/>
      <c r="I534" s="12"/>
      <c r="K534" s="28"/>
    </row>
    <row r="535">
      <c r="A535" s="12"/>
      <c r="C535" s="25"/>
      <c r="E535" s="12"/>
      <c r="G535" s="25"/>
      <c r="I535" s="12"/>
      <c r="K535" s="28"/>
    </row>
    <row r="536">
      <c r="A536" s="12"/>
      <c r="C536" s="25"/>
      <c r="E536" s="12"/>
      <c r="G536" s="25"/>
      <c r="I536" s="12"/>
      <c r="K536" s="28"/>
    </row>
    <row r="537">
      <c r="A537" s="12"/>
      <c r="C537" s="25"/>
      <c r="E537" s="12"/>
      <c r="G537" s="25"/>
      <c r="I537" s="12"/>
      <c r="K537" s="28"/>
    </row>
    <row r="538">
      <c r="A538" s="12"/>
      <c r="C538" s="25"/>
      <c r="E538" s="12"/>
      <c r="G538" s="25"/>
      <c r="I538" s="12"/>
      <c r="K538" s="28"/>
    </row>
    <row r="539">
      <c r="A539" s="12"/>
      <c r="C539" s="25"/>
      <c r="E539" s="12"/>
      <c r="G539" s="25"/>
      <c r="I539" s="12"/>
      <c r="K539" s="28"/>
    </row>
    <row r="540">
      <c r="A540" s="12"/>
      <c r="C540" s="25"/>
      <c r="E540" s="12"/>
      <c r="G540" s="25"/>
      <c r="I540" s="12"/>
      <c r="K540" s="28"/>
    </row>
    <row r="541">
      <c r="A541" s="12"/>
      <c r="C541" s="25"/>
      <c r="E541" s="12"/>
      <c r="G541" s="25"/>
      <c r="I541" s="12"/>
      <c r="K541" s="28"/>
    </row>
    <row r="542">
      <c r="A542" s="12"/>
      <c r="C542" s="25"/>
      <c r="E542" s="12"/>
      <c r="G542" s="25"/>
      <c r="I542" s="12"/>
      <c r="K542" s="28"/>
    </row>
    <row r="543">
      <c r="A543" s="12"/>
      <c r="C543" s="25"/>
      <c r="E543" s="12"/>
      <c r="G543" s="25"/>
      <c r="I543" s="12"/>
      <c r="K543" s="28"/>
    </row>
    <row r="544">
      <c r="A544" s="12"/>
      <c r="C544" s="25"/>
      <c r="E544" s="12"/>
      <c r="G544" s="25"/>
      <c r="I544" s="12"/>
      <c r="K544" s="28"/>
    </row>
    <row r="545">
      <c r="A545" s="12"/>
      <c r="C545" s="25"/>
      <c r="E545" s="12"/>
      <c r="G545" s="25"/>
      <c r="I545" s="12"/>
      <c r="K545" s="28"/>
    </row>
    <row r="546">
      <c r="A546" s="12"/>
      <c r="C546" s="25"/>
      <c r="E546" s="12"/>
      <c r="G546" s="25"/>
      <c r="I546" s="12"/>
      <c r="K546" s="28"/>
    </row>
    <row r="547">
      <c r="A547" s="12"/>
      <c r="C547" s="25"/>
      <c r="E547" s="12"/>
      <c r="G547" s="25"/>
      <c r="I547" s="12"/>
      <c r="K547" s="28"/>
    </row>
    <row r="548">
      <c r="A548" s="12"/>
      <c r="C548" s="25"/>
      <c r="E548" s="12"/>
      <c r="G548" s="25"/>
      <c r="I548" s="12"/>
      <c r="K548" s="28"/>
    </row>
    <row r="549">
      <c r="A549" s="12"/>
      <c r="C549" s="25"/>
      <c r="E549" s="12"/>
      <c r="G549" s="25"/>
      <c r="I549" s="12"/>
      <c r="K549" s="28"/>
    </row>
    <row r="550">
      <c r="A550" s="12"/>
      <c r="C550" s="25"/>
      <c r="E550" s="12"/>
      <c r="G550" s="25"/>
      <c r="I550" s="12"/>
      <c r="K550" s="28"/>
    </row>
    <row r="551">
      <c r="A551" s="12"/>
      <c r="C551" s="25"/>
      <c r="E551" s="12"/>
      <c r="G551" s="25"/>
      <c r="I551" s="12"/>
      <c r="K551" s="28"/>
    </row>
    <row r="552">
      <c r="A552" s="12"/>
      <c r="C552" s="25"/>
      <c r="E552" s="12"/>
      <c r="G552" s="25"/>
      <c r="I552" s="12"/>
      <c r="K552" s="28"/>
    </row>
    <row r="553">
      <c r="A553" s="12"/>
      <c r="C553" s="25"/>
      <c r="E553" s="12"/>
      <c r="G553" s="25"/>
      <c r="I553" s="12"/>
      <c r="K553" s="28"/>
    </row>
    <row r="554">
      <c r="A554" s="12"/>
      <c r="C554" s="25"/>
      <c r="E554" s="12"/>
      <c r="G554" s="25"/>
      <c r="I554" s="12"/>
      <c r="K554" s="28"/>
    </row>
    <row r="555">
      <c r="A555" s="12"/>
      <c r="C555" s="25"/>
      <c r="E555" s="12"/>
      <c r="G555" s="25"/>
      <c r="I555" s="12"/>
      <c r="K555" s="28"/>
    </row>
    <row r="556">
      <c r="A556" s="12"/>
      <c r="C556" s="25"/>
      <c r="E556" s="12"/>
      <c r="G556" s="25"/>
      <c r="I556" s="12"/>
      <c r="K556" s="28"/>
    </row>
    <row r="557">
      <c r="A557" s="12"/>
      <c r="C557" s="25"/>
      <c r="E557" s="12"/>
      <c r="G557" s="25"/>
      <c r="I557" s="12"/>
      <c r="K557" s="28"/>
    </row>
    <row r="558">
      <c r="A558" s="12"/>
      <c r="C558" s="25"/>
      <c r="E558" s="12"/>
      <c r="G558" s="25"/>
      <c r="I558" s="12"/>
      <c r="K558" s="28"/>
    </row>
    <row r="559">
      <c r="A559" s="12"/>
      <c r="C559" s="25"/>
      <c r="E559" s="12"/>
      <c r="G559" s="25"/>
      <c r="I559" s="12"/>
      <c r="K559" s="28"/>
    </row>
    <row r="560">
      <c r="A560" s="12"/>
      <c r="C560" s="25"/>
      <c r="E560" s="12"/>
      <c r="G560" s="25"/>
      <c r="I560" s="12"/>
      <c r="K560" s="28"/>
    </row>
    <row r="561">
      <c r="A561" s="12"/>
      <c r="C561" s="25"/>
      <c r="E561" s="12"/>
      <c r="G561" s="25"/>
      <c r="I561" s="12"/>
      <c r="K561" s="28"/>
    </row>
    <row r="562">
      <c r="A562" s="12"/>
      <c r="C562" s="25"/>
      <c r="E562" s="12"/>
      <c r="G562" s="25"/>
      <c r="I562" s="12"/>
      <c r="K562" s="28"/>
    </row>
    <row r="563">
      <c r="A563" s="12"/>
      <c r="C563" s="25"/>
      <c r="E563" s="12"/>
      <c r="G563" s="25"/>
      <c r="I563" s="12"/>
      <c r="K563" s="28"/>
    </row>
    <row r="564">
      <c r="A564" s="12"/>
      <c r="C564" s="25"/>
      <c r="E564" s="12"/>
      <c r="G564" s="25"/>
      <c r="I564" s="12"/>
      <c r="K564" s="28"/>
    </row>
    <row r="565">
      <c r="A565" s="12"/>
      <c r="C565" s="25"/>
      <c r="E565" s="12"/>
      <c r="G565" s="25"/>
      <c r="I565" s="12"/>
      <c r="K565" s="28"/>
    </row>
    <row r="566">
      <c r="A566" s="12"/>
      <c r="C566" s="25"/>
      <c r="E566" s="12"/>
      <c r="G566" s="25"/>
      <c r="I566" s="12"/>
      <c r="K566" s="28"/>
    </row>
    <row r="567">
      <c r="A567" s="12"/>
      <c r="C567" s="25"/>
      <c r="E567" s="12"/>
      <c r="G567" s="25"/>
      <c r="I567" s="12"/>
      <c r="K567" s="28"/>
    </row>
    <row r="568">
      <c r="A568" s="12"/>
      <c r="C568" s="25"/>
      <c r="E568" s="12"/>
      <c r="G568" s="25"/>
      <c r="I568" s="12"/>
      <c r="K568" s="28"/>
    </row>
    <row r="569">
      <c r="A569" s="12"/>
      <c r="C569" s="25"/>
      <c r="E569" s="12"/>
      <c r="G569" s="25"/>
      <c r="I569" s="12"/>
      <c r="K569" s="28"/>
    </row>
    <row r="570">
      <c r="A570" s="12"/>
      <c r="C570" s="25"/>
      <c r="E570" s="12"/>
      <c r="G570" s="25"/>
      <c r="I570" s="12"/>
      <c r="K570" s="28"/>
    </row>
    <row r="571">
      <c r="A571" s="12"/>
      <c r="C571" s="25"/>
      <c r="E571" s="12"/>
      <c r="G571" s="25"/>
      <c r="I571" s="12"/>
      <c r="K571" s="28"/>
    </row>
    <row r="572">
      <c r="A572" s="12"/>
      <c r="C572" s="25"/>
      <c r="E572" s="12"/>
      <c r="G572" s="25"/>
      <c r="I572" s="12"/>
      <c r="K572" s="28"/>
    </row>
    <row r="573">
      <c r="A573" s="12"/>
      <c r="C573" s="25"/>
      <c r="E573" s="12"/>
      <c r="G573" s="25"/>
      <c r="I573" s="12"/>
      <c r="K573" s="28"/>
    </row>
    <row r="574">
      <c r="A574" s="12"/>
      <c r="C574" s="25"/>
      <c r="E574" s="12"/>
      <c r="G574" s="25"/>
      <c r="I574" s="12"/>
      <c r="K574" s="28"/>
    </row>
    <row r="575">
      <c r="A575" s="12"/>
      <c r="C575" s="25"/>
      <c r="E575" s="12"/>
      <c r="G575" s="25"/>
      <c r="I575" s="12"/>
      <c r="K575" s="28"/>
    </row>
    <row r="576">
      <c r="A576" s="12"/>
      <c r="C576" s="25"/>
      <c r="E576" s="12"/>
      <c r="G576" s="25"/>
      <c r="I576" s="12"/>
      <c r="K576" s="28"/>
    </row>
    <row r="577">
      <c r="A577" s="12"/>
      <c r="C577" s="25"/>
      <c r="E577" s="12"/>
      <c r="G577" s="25"/>
      <c r="I577" s="12"/>
      <c r="K577" s="28"/>
    </row>
    <row r="578">
      <c r="A578" s="12"/>
      <c r="C578" s="25"/>
      <c r="E578" s="12"/>
      <c r="G578" s="25"/>
      <c r="I578" s="12"/>
      <c r="K578" s="28"/>
    </row>
    <row r="579">
      <c r="A579" s="12"/>
      <c r="C579" s="25"/>
      <c r="E579" s="12"/>
      <c r="G579" s="25"/>
      <c r="I579" s="12"/>
      <c r="K579" s="28"/>
    </row>
    <row r="580">
      <c r="A580" s="12"/>
      <c r="C580" s="25"/>
      <c r="E580" s="12"/>
      <c r="G580" s="25"/>
      <c r="I580" s="12"/>
      <c r="K580" s="28"/>
    </row>
    <row r="581">
      <c r="A581" s="12"/>
      <c r="C581" s="25"/>
      <c r="E581" s="12"/>
      <c r="G581" s="25"/>
      <c r="I581" s="12"/>
      <c r="K581" s="28"/>
    </row>
    <row r="582">
      <c r="A582" s="12"/>
      <c r="C582" s="25"/>
      <c r="E582" s="12"/>
      <c r="G582" s="25"/>
      <c r="I582" s="12"/>
      <c r="K582" s="28"/>
    </row>
    <row r="583">
      <c r="A583" s="12"/>
      <c r="C583" s="25"/>
      <c r="E583" s="12"/>
      <c r="G583" s="25"/>
      <c r="I583" s="12"/>
      <c r="K583" s="28"/>
    </row>
    <row r="584">
      <c r="A584" s="12"/>
      <c r="C584" s="25"/>
      <c r="E584" s="12"/>
      <c r="G584" s="25"/>
      <c r="I584" s="12"/>
      <c r="K584" s="28"/>
    </row>
    <row r="585">
      <c r="A585" s="12"/>
      <c r="C585" s="25"/>
      <c r="E585" s="12"/>
      <c r="G585" s="25"/>
      <c r="I585" s="12"/>
      <c r="K585" s="28"/>
    </row>
    <row r="586">
      <c r="A586" s="12"/>
      <c r="C586" s="25"/>
      <c r="E586" s="12"/>
      <c r="G586" s="25"/>
      <c r="I586" s="12"/>
      <c r="K586" s="28"/>
    </row>
    <row r="587">
      <c r="A587" s="12"/>
      <c r="C587" s="25"/>
      <c r="E587" s="12"/>
      <c r="G587" s="25"/>
      <c r="I587" s="12"/>
      <c r="K587" s="28"/>
    </row>
    <row r="588">
      <c r="A588" s="12"/>
      <c r="C588" s="25"/>
      <c r="E588" s="12"/>
      <c r="G588" s="25"/>
      <c r="I588" s="12"/>
      <c r="K588" s="28"/>
    </row>
    <row r="589">
      <c r="A589" s="12"/>
      <c r="C589" s="25"/>
      <c r="E589" s="12"/>
      <c r="G589" s="25"/>
      <c r="I589" s="12"/>
      <c r="K589" s="28"/>
    </row>
    <row r="590">
      <c r="A590" s="12"/>
      <c r="C590" s="25"/>
      <c r="E590" s="12"/>
      <c r="G590" s="25"/>
      <c r="I590" s="12"/>
      <c r="K590" s="28"/>
    </row>
    <row r="591">
      <c r="A591" s="12"/>
      <c r="C591" s="25"/>
      <c r="E591" s="12"/>
      <c r="G591" s="25"/>
      <c r="I591" s="12"/>
      <c r="K591" s="28"/>
    </row>
    <row r="592">
      <c r="A592" s="12"/>
      <c r="C592" s="25"/>
      <c r="E592" s="12"/>
      <c r="G592" s="25"/>
      <c r="I592" s="12"/>
      <c r="K592" s="28"/>
    </row>
    <row r="593">
      <c r="A593" s="12"/>
      <c r="C593" s="25"/>
      <c r="E593" s="12"/>
      <c r="G593" s="25"/>
      <c r="I593" s="12"/>
      <c r="K593" s="28"/>
    </row>
    <row r="594">
      <c r="A594" s="12"/>
      <c r="C594" s="25"/>
      <c r="E594" s="12"/>
      <c r="G594" s="25"/>
      <c r="I594" s="12"/>
      <c r="K594" s="28"/>
    </row>
    <row r="595">
      <c r="A595" s="12"/>
      <c r="C595" s="25"/>
      <c r="E595" s="12"/>
      <c r="G595" s="25"/>
      <c r="I595" s="12"/>
      <c r="K595" s="28"/>
    </row>
    <row r="596">
      <c r="A596" s="12"/>
      <c r="C596" s="25"/>
      <c r="E596" s="12"/>
      <c r="G596" s="25"/>
      <c r="I596" s="12"/>
      <c r="K596" s="28"/>
    </row>
    <row r="597">
      <c r="A597" s="12"/>
      <c r="C597" s="25"/>
      <c r="E597" s="12"/>
      <c r="G597" s="25"/>
      <c r="I597" s="12"/>
      <c r="K597" s="28"/>
    </row>
    <row r="598">
      <c r="A598" s="12"/>
      <c r="C598" s="25"/>
      <c r="E598" s="12"/>
      <c r="G598" s="25"/>
      <c r="I598" s="12"/>
      <c r="K598" s="28"/>
    </row>
    <row r="599">
      <c r="A599" s="12"/>
      <c r="C599" s="25"/>
      <c r="E599" s="12"/>
      <c r="G599" s="25"/>
      <c r="I599" s="12"/>
      <c r="K599" s="28"/>
    </row>
    <row r="600">
      <c r="A600" s="12"/>
      <c r="C600" s="25"/>
      <c r="E600" s="12"/>
      <c r="G600" s="25"/>
      <c r="I600" s="12"/>
      <c r="K600" s="28"/>
    </row>
    <row r="601">
      <c r="A601" s="12"/>
      <c r="C601" s="25"/>
      <c r="E601" s="12"/>
      <c r="G601" s="25"/>
      <c r="I601" s="12"/>
      <c r="K601" s="28"/>
    </row>
    <row r="602">
      <c r="A602" s="12"/>
      <c r="C602" s="25"/>
      <c r="E602" s="12"/>
      <c r="G602" s="25"/>
      <c r="I602" s="12"/>
      <c r="K602" s="28"/>
    </row>
    <row r="603">
      <c r="A603" s="12"/>
      <c r="C603" s="25"/>
      <c r="E603" s="12"/>
      <c r="G603" s="25"/>
      <c r="I603" s="12"/>
      <c r="K603" s="28"/>
    </row>
    <row r="604">
      <c r="A604" s="12"/>
      <c r="C604" s="25"/>
      <c r="E604" s="12"/>
      <c r="G604" s="25"/>
      <c r="I604" s="12"/>
      <c r="K604" s="28"/>
    </row>
    <row r="605">
      <c r="A605" s="12"/>
      <c r="C605" s="25"/>
      <c r="E605" s="12"/>
      <c r="G605" s="25"/>
      <c r="I605" s="12"/>
      <c r="K605" s="28"/>
    </row>
    <row r="606">
      <c r="A606" s="12"/>
      <c r="C606" s="25"/>
      <c r="E606" s="12"/>
      <c r="G606" s="25"/>
      <c r="I606" s="12"/>
      <c r="K606" s="28"/>
    </row>
    <row r="607">
      <c r="A607" s="12"/>
      <c r="C607" s="25"/>
      <c r="E607" s="12"/>
      <c r="G607" s="25"/>
      <c r="I607" s="12"/>
      <c r="K607" s="28"/>
    </row>
    <row r="608">
      <c r="A608" s="12"/>
      <c r="C608" s="25"/>
      <c r="E608" s="12"/>
      <c r="G608" s="25"/>
      <c r="I608" s="12"/>
      <c r="K608" s="28"/>
    </row>
    <row r="609">
      <c r="A609" s="12"/>
      <c r="C609" s="25"/>
      <c r="E609" s="12"/>
      <c r="G609" s="25"/>
      <c r="I609" s="12"/>
      <c r="K609" s="28"/>
    </row>
    <row r="610">
      <c r="A610" s="12"/>
      <c r="C610" s="25"/>
      <c r="E610" s="12"/>
      <c r="G610" s="25"/>
      <c r="I610" s="12"/>
      <c r="K610" s="28"/>
    </row>
    <row r="611">
      <c r="A611" s="12"/>
      <c r="C611" s="25"/>
      <c r="E611" s="12"/>
      <c r="G611" s="25"/>
      <c r="I611" s="12"/>
      <c r="K611" s="28"/>
    </row>
    <row r="612">
      <c r="A612" s="12"/>
      <c r="C612" s="25"/>
      <c r="E612" s="12"/>
      <c r="G612" s="25"/>
      <c r="I612" s="12"/>
      <c r="K612" s="28"/>
    </row>
    <row r="613">
      <c r="A613" s="12"/>
      <c r="C613" s="25"/>
      <c r="E613" s="12"/>
      <c r="G613" s="25"/>
      <c r="I613" s="12"/>
      <c r="K613" s="28"/>
    </row>
    <row r="614">
      <c r="A614" s="12"/>
      <c r="C614" s="25"/>
      <c r="E614" s="12"/>
      <c r="G614" s="25"/>
      <c r="I614" s="12"/>
      <c r="K614" s="28"/>
    </row>
    <row r="615">
      <c r="A615" s="12"/>
      <c r="C615" s="25"/>
      <c r="E615" s="12"/>
      <c r="G615" s="25"/>
      <c r="I615" s="12"/>
      <c r="K615" s="28"/>
    </row>
    <row r="616">
      <c r="A616" s="12"/>
      <c r="C616" s="25"/>
      <c r="E616" s="12"/>
      <c r="G616" s="25"/>
      <c r="I616" s="12"/>
      <c r="K616" s="28"/>
    </row>
    <row r="617">
      <c r="A617" s="12"/>
      <c r="C617" s="25"/>
      <c r="E617" s="12"/>
      <c r="G617" s="25"/>
      <c r="I617" s="12"/>
      <c r="K617" s="28"/>
    </row>
    <row r="618">
      <c r="A618" s="12"/>
      <c r="C618" s="25"/>
      <c r="E618" s="12"/>
      <c r="G618" s="25"/>
      <c r="I618" s="12"/>
      <c r="K618" s="28"/>
    </row>
    <row r="619">
      <c r="A619" s="12"/>
      <c r="C619" s="25"/>
      <c r="E619" s="12"/>
      <c r="G619" s="25"/>
      <c r="I619" s="12"/>
      <c r="K619" s="28"/>
    </row>
    <row r="620">
      <c r="A620" s="12"/>
      <c r="C620" s="25"/>
      <c r="E620" s="12"/>
      <c r="G620" s="25"/>
      <c r="I620" s="12"/>
      <c r="K620" s="28"/>
    </row>
    <row r="621">
      <c r="A621" s="12"/>
      <c r="C621" s="25"/>
      <c r="E621" s="12"/>
      <c r="G621" s="25"/>
      <c r="I621" s="12"/>
      <c r="K621" s="28"/>
    </row>
    <row r="622">
      <c r="A622" s="12"/>
      <c r="C622" s="25"/>
      <c r="E622" s="12"/>
      <c r="G622" s="25"/>
      <c r="I622" s="12"/>
      <c r="K622" s="28"/>
    </row>
    <row r="623">
      <c r="A623" s="12"/>
      <c r="C623" s="25"/>
      <c r="E623" s="12"/>
      <c r="G623" s="25"/>
      <c r="I623" s="12"/>
      <c r="K623" s="28"/>
    </row>
    <row r="624">
      <c r="A624" s="12"/>
      <c r="C624" s="25"/>
      <c r="E624" s="12"/>
      <c r="G624" s="25"/>
      <c r="I624" s="12"/>
      <c r="K624" s="28"/>
    </row>
    <row r="625">
      <c r="A625" s="12"/>
      <c r="C625" s="25"/>
      <c r="E625" s="12"/>
      <c r="G625" s="25"/>
      <c r="I625" s="12"/>
      <c r="K625" s="28"/>
    </row>
    <row r="626">
      <c r="A626" s="12"/>
      <c r="C626" s="25"/>
      <c r="E626" s="12"/>
      <c r="G626" s="25"/>
      <c r="I626" s="12"/>
      <c r="K626" s="28"/>
    </row>
    <row r="627">
      <c r="A627" s="12"/>
      <c r="C627" s="25"/>
      <c r="E627" s="12"/>
      <c r="G627" s="25"/>
      <c r="I627" s="12"/>
      <c r="K627" s="28"/>
    </row>
    <row r="628">
      <c r="A628" s="12"/>
      <c r="C628" s="25"/>
      <c r="E628" s="12"/>
      <c r="G628" s="25"/>
      <c r="I628" s="12"/>
      <c r="K628" s="28"/>
    </row>
    <row r="629">
      <c r="A629" s="12"/>
      <c r="C629" s="25"/>
      <c r="E629" s="12"/>
      <c r="G629" s="25"/>
      <c r="I629" s="12"/>
      <c r="K629" s="28"/>
    </row>
    <row r="630">
      <c r="A630" s="12"/>
      <c r="C630" s="25"/>
      <c r="E630" s="12"/>
      <c r="G630" s="25"/>
      <c r="I630" s="12"/>
      <c r="K630" s="28"/>
    </row>
    <row r="631">
      <c r="A631" s="12"/>
      <c r="C631" s="25"/>
      <c r="E631" s="12"/>
      <c r="G631" s="25"/>
      <c r="I631" s="12"/>
      <c r="K631" s="28"/>
    </row>
    <row r="632">
      <c r="A632" s="12"/>
      <c r="C632" s="25"/>
      <c r="E632" s="12"/>
      <c r="G632" s="25"/>
      <c r="I632" s="12"/>
      <c r="K632" s="28"/>
    </row>
    <row r="633">
      <c r="A633" s="12"/>
      <c r="C633" s="25"/>
      <c r="E633" s="12"/>
      <c r="G633" s="25"/>
      <c r="I633" s="12"/>
      <c r="K633" s="28"/>
    </row>
    <row r="634">
      <c r="A634" s="12"/>
      <c r="C634" s="25"/>
      <c r="E634" s="12"/>
      <c r="G634" s="25"/>
      <c r="I634" s="12"/>
      <c r="K634" s="28"/>
    </row>
    <row r="635">
      <c r="A635" s="12"/>
      <c r="C635" s="25"/>
      <c r="E635" s="12"/>
      <c r="G635" s="25"/>
      <c r="I635" s="12"/>
      <c r="K635" s="28"/>
    </row>
    <row r="636">
      <c r="A636" s="12"/>
      <c r="C636" s="25"/>
      <c r="E636" s="12"/>
      <c r="G636" s="25"/>
      <c r="I636" s="12"/>
      <c r="K636" s="28"/>
    </row>
    <row r="637">
      <c r="A637" s="12"/>
      <c r="C637" s="25"/>
      <c r="E637" s="12"/>
      <c r="G637" s="25"/>
      <c r="I637" s="12"/>
      <c r="K637" s="28"/>
    </row>
    <row r="638">
      <c r="A638" s="12"/>
      <c r="C638" s="25"/>
      <c r="E638" s="12"/>
      <c r="G638" s="25"/>
      <c r="I638" s="12"/>
      <c r="K638" s="28"/>
    </row>
    <row r="639">
      <c r="A639" s="12"/>
      <c r="C639" s="25"/>
      <c r="E639" s="12"/>
      <c r="G639" s="25"/>
      <c r="I639" s="12"/>
      <c r="K639" s="28"/>
    </row>
    <row r="640">
      <c r="A640" s="12"/>
      <c r="C640" s="25"/>
      <c r="E640" s="12"/>
      <c r="G640" s="25"/>
      <c r="I640" s="12"/>
      <c r="K640" s="28"/>
    </row>
    <row r="641">
      <c r="A641" s="12"/>
      <c r="C641" s="25"/>
      <c r="E641" s="12"/>
      <c r="G641" s="25"/>
      <c r="I641" s="12"/>
      <c r="K641" s="28"/>
    </row>
    <row r="642">
      <c r="A642" s="12"/>
      <c r="C642" s="25"/>
      <c r="E642" s="12"/>
      <c r="G642" s="25"/>
      <c r="I642" s="12"/>
      <c r="K642" s="28"/>
    </row>
    <row r="643">
      <c r="A643" s="12"/>
      <c r="C643" s="25"/>
      <c r="E643" s="12"/>
      <c r="G643" s="25"/>
      <c r="I643" s="12"/>
      <c r="K643" s="28"/>
    </row>
    <row r="644">
      <c r="A644" s="12"/>
      <c r="C644" s="25"/>
      <c r="E644" s="12"/>
      <c r="G644" s="25"/>
      <c r="I644" s="12"/>
      <c r="K644" s="28"/>
    </row>
    <row r="645">
      <c r="A645" s="12"/>
      <c r="C645" s="25"/>
      <c r="E645" s="12"/>
      <c r="G645" s="25"/>
      <c r="I645" s="12"/>
      <c r="K645" s="28"/>
    </row>
    <row r="646">
      <c r="A646" s="12"/>
      <c r="C646" s="25"/>
      <c r="E646" s="12"/>
      <c r="G646" s="25"/>
      <c r="I646" s="12"/>
      <c r="K646" s="28"/>
    </row>
    <row r="647">
      <c r="A647" s="12"/>
      <c r="C647" s="25"/>
      <c r="E647" s="12"/>
      <c r="G647" s="25"/>
      <c r="I647" s="12"/>
      <c r="K647" s="28"/>
    </row>
    <row r="648">
      <c r="A648" s="12"/>
      <c r="C648" s="25"/>
      <c r="E648" s="12"/>
      <c r="G648" s="25"/>
      <c r="I648" s="12"/>
      <c r="K648" s="28"/>
    </row>
    <row r="649">
      <c r="A649" s="12"/>
      <c r="C649" s="25"/>
      <c r="E649" s="12"/>
      <c r="G649" s="25"/>
      <c r="I649" s="12"/>
      <c r="K649" s="28"/>
    </row>
    <row r="650">
      <c r="A650" s="12"/>
      <c r="C650" s="25"/>
      <c r="E650" s="12"/>
      <c r="G650" s="25"/>
      <c r="I650" s="12"/>
      <c r="K650" s="28"/>
    </row>
    <row r="651">
      <c r="A651" s="12"/>
      <c r="C651" s="25"/>
      <c r="E651" s="12"/>
      <c r="G651" s="25"/>
      <c r="I651" s="12"/>
      <c r="K651" s="28"/>
    </row>
    <row r="652">
      <c r="A652" s="12"/>
      <c r="C652" s="25"/>
      <c r="E652" s="12"/>
      <c r="G652" s="25"/>
      <c r="I652" s="12"/>
      <c r="K652" s="28"/>
    </row>
    <row r="653">
      <c r="A653" s="12"/>
      <c r="C653" s="25"/>
      <c r="E653" s="12"/>
      <c r="G653" s="25"/>
      <c r="I653" s="12"/>
      <c r="K653" s="28"/>
    </row>
    <row r="654">
      <c r="A654" s="12"/>
      <c r="C654" s="25"/>
      <c r="E654" s="12"/>
      <c r="G654" s="25"/>
      <c r="I654" s="12"/>
      <c r="K654" s="28"/>
    </row>
    <row r="655">
      <c r="A655" s="12"/>
      <c r="C655" s="25"/>
      <c r="E655" s="12"/>
      <c r="G655" s="25"/>
      <c r="I655" s="12"/>
      <c r="K655" s="28"/>
    </row>
    <row r="656">
      <c r="A656" s="12"/>
      <c r="C656" s="25"/>
      <c r="E656" s="12"/>
      <c r="G656" s="25"/>
      <c r="I656" s="12"/>
      <c r="K656" s="28"/>
    </row>
    <row r="657">
      <c r="A657" s="12"/>
      <c r="C657" s="25"/>
      <c r="E657" s="12"/>
      <c r="G657" s="25"/>
      <c r="I657" s="12"/>
      <c r="K657" s="28"/>
    </row>
    <row r="658">
      <c r="A658" s="12"/>
      <c r="C658" s="25"/>
      <c r="E658" s="12"/>
      <c r="G658" s="25"/>
      <c r="I658" s="12"/>
      <c r="K658" s="28"/>
    </row>
    <row r="659">
      <c r="A659" s="12"/>
      <c r="C659" s="25"/>
      <c r="E659" s="12"/>
      <c r="G659" s="25"/>
      <c r="I659" s="12"/>
      <c r="K659" s="28"/>
    </row>
    <row r="660">
      <c r="A660" s="12"/>
      <c r="C660" s="25"/>
      <c r="E660" s="12"/>
      <c r="G660" s="25"/>
      <c r="I660" s="12"/>
      <c r="K660" s="28"/>
    </row>
    <row r="661">
      <c r="A661" s="12"/>
      <c r="C661" s="25"/>
      <c r="E661" s="12"/>
      <c r="G661" s="25"/>
      <c r="I661" s="12"/>
      <c r="K661" s="28"/>
    </row>
    <row r="662">
      <c r="A662" s="12"/>
      <c r="C662" s="25"/>
      <c r="E662" s="12"/>
      <c r="G662" s="25"/>
      <c r="I662" s="12"/>
      <c r="K662" s="28"/>
    </row>
    <row r="663">
      <c r="A663" s="12"/>
      <c r="C663" s="25"/>
      <c r="E663" s="12"/>
      <c r="G663" s="25"/>
      <c r="I663" s="12"/>
      <c r="K663" s="28"/>
    </row>
    <row r="664">
      <c r="A664" s="12"/>
      <c r="C664" s="25"/>
      <c r="E664" s="12"/>
      <c r="G664" s="25"/>
      <c r="I664" s="12"/>
      <c r="K664" s="28"/>
    </row>
    <row r="665">
      <c r="A665" s="12"/>
      <c r="C665" s="25"/>
      <c r="E665" s="12"/>
      <c r="G665" s="25"/>
      <c r="I665" s="12"/>
      <c r="K665" s="28"/>
    </row>
    <row r="666">
      <c r="A666" s="12"/>
      <c r="C666" s="25"/>
      <c r="E666" s="12"/>
      <c r="G666" s="25"/>
      <c r="I666" s="12"/>
      <c r="K666" s="28"/>
    </row>
    <row r="667">
      <c r="A667" s="12"/>
      <c r="C667" s="25"/>
      <c r="E667" s="12"/>
      <c r="G667" s="25"/>
      <c r="I667" s="12"/>
      <c r="K667" s="28"/>
    </row>
    <row r="668">
      <c r="A668" s="12"/>
      <c r="C668" s="25"/>
      <c r="E668" s="12"/>
      <c r="G668" s="25"/>
      <c r="I668" s="12"/>
      <c r="K668" s="28"/>
    </row>
    <row r="669">
      <c r="A669" s="12"/>
      <c r="C669" s="25"/>
      <c r="E669" s="12"/>
      <c r="G669" s="25"/>
      <c r="I669" s="12"/>
      <c r="K669" s="28"/>
    </row>
    <row r="670">
      <c r="A670" s="12"/>
      <c r="C670" s="25"/>
      <c r="E670" s="12"/>
      <c r="G670" s="25"/>
      <c r="I670" s="12"/>
      <c r="K670" s="28"/>
    </row>
    <row r="671">
      <c r="A671" s="12"/>
      <c r="C671" s="25"/>
      <c r="E671" s="12"/>
      <c r="G671" s="25"/>
      <c r="I671" s="12"/>
      <c r="K671" s="28"/>
    </row>
    <row r="672">
      <c r="A672" s="12"/>
      <c r="C672" s="25"/>
      <c r="E672" s="12"/>
      <c r="G672" s="25"/>
      <c r="I672" s="12"/>
      <c r="K672" s="28"/>
    </row>
    <row r="673">
      <c r="A673" s="12"/>
      <c r="C673" s="25"/>
      <c r="E673" s="12"/>
      <c r="G673" s="25"/>
      <c r="I673" s="12"/>
      <c r="K673" s="28"/>
    </row>
    <row r="674">
      <c r="A674" s="12"/>
      <c r="C674" s="25"/>
      <c r="E674" s="12"/>
      <c r="G674" s="25"/>
      <c r="I674" s="12"/>
      <c r="K674" s="28"/>
    </row>
    <row r="675">
      <c r="A675" s="12"/>
      <c r="C675" s="25"/>
      <c r="E675" s="12"/>
      <c r="G675" s="25"/>
      <c r="I675" s="12"/>
      <c r="K675" s="28"/>
    </row>
    <row r="676">
      <c r="A676" s="12"/>
      <c r="C676" s="25"/>
      <c r="E676" s="12"/>
      <c r="G676" s="25"/>
      <c r="I676" s="12"/>
      <c r="K676" s="28"/>
    </row>
    <row r="677">
      <c r="A677" s="12"/>
      <c r="C677" s="25"/>
      <c r="E677" s="12"/>
      <c r="G677" s="25"/>
      <c r="I677" s="12"/>
      <c r="K677" s="28"/>
    </row>
    <row r="678">
      <c r="A678" s="12"/>
      <c r="C678" s="25"/>
      <c r="E678" s="12"/>
      <c r="G678" s="25"/>
      <c r="I678" s="12"/>
      <c r="K678" s="28"/>
    </row>
    <row r="679">
      <c r="A679" s="12"/>
      <c r="C679" s="25"/>
      <c r="E679" s="12"/>
      <c r="G679" s="25"/>
      <c r="I679" s="12"/>
      <c r="K679" s="28"/>
    </row>
    <row r="680">
      <c r="A680" s="12"/>
      <c r="C680" s="25"/>
      <c r="E680" s="12"/>
      <c r="G680" s="25"/>
      <c r="I680" s="12"/>
      <c r="K680" s="28"/>
    </row>
    <row r="681">
      <c r="A681" s="12"/>
      <c r="C681" s="25"/>
      <c r="E681" s="12"/>
      <c r="G681" s="25"/>
      <c r="I681" s="12"/>
      <c r="K681" s="28"/>
    </row>
    <row r="682">
      <c r="A682" s="12"/>
      <c r="C682" s="25"/>
      <c r="E682" s="12"/>
      <c r="G682" s="25"/>
      <c r="I682" s="12"/>
      <c r="K682" s="28"/>
    </row>
    <row r="683">
      <c r="A683" s="12"/>
      <c r="C683" s="25"/>
      <c r="E683" s="12"/>
      <c r="G683" s="25"/>
      <c r="I683" s="12"/>
      <c r="K683" s="28"/>
    </row>
    <row r="684">
      <c r="A684" s="12"/>
      <c r="C684" s="25"/>
      <c r="E684" s="12"/>
      <c r="G684" s="25"/>
      <c r="I684" s="12"/>
      <c r="K684" s="28"/>
    </row>
    <row r="685">
      <c r="A685" s="12"/>
      <c r="C685" s="25"/>
      <c r="E685" s="12"/>
      <c r="G685" s="25"/>
      <c r="I685" s="12"/>
      <c r="K685" s="28"/>
    </row>
    <row r="686">
      <c r="A686" s="12"/>
      <c r="C686" s="25"/>
      <c r="E686" s="12"/>
      <c r="G686" s="25"/>
      <c r="I686" s="12"/>
      <c r="K686" s="28"/>
    </row>
    <row r="687">
      <c r="A687" s="12"/>
      <c r="C687" s="25"/>
      <c r="E687" s="12"/>
      <c r="G687" s="25"/>
      <c r="I687" s="12"/>
      <c r="K687" s="28"/>
    </row>
    <row r="688">
      <c r="A688" s="12"/>
      <c r="C688" s="25"/>
      <c r="E688" s="12"/>
      <c r="G688" s="25"/>
      <c r="I688" s="12"/>
      <c r="K688" s="28"/>
    </row>
    <row r="689">
      <c r="A689" s="12"/>
      <c r="C689" s="25"/>
      <c r="E689" s="12"/>
      <c r="G689" s="25"/>
      <c r="I689" s="12"/>
      <c r="K689" s="28"/>
    </row>
    <row r="690">
      <c r="A690" s="12"/>
      <c r="C690" s="25"/>
      <c r="E690" s="12"/>
      <c r="G690" s="25"/>
      <c r="I690" s="12"/>
      <c r="K690" s="28"/>
    </row>
    <row r="691">
      <c r="A691" s="12"/>
      <c r="C691" s="25"/>
      <c r="E691" s="12"/>
      <c r="G691" s="25"/>
      <c r="I691" s="12"/>
      <c r="K691" s="28"/>
    </row>
    <row r="692">
      <c r="A692" s="12"/>
      <c r="C692" s="25"/>
      <c r="E692" s="12"/>
      <c r="G692" s="25"/>
      <c r="I692" s="12"/>
      <c r="K692" s="28"/>
    </row>
    <row r="693">
      <c r="A693" s="12"/>
      <c r="C693" s="25"/>
      <c r="E693" s="12"/>
      <c r="G693" s="25"/>
      <c r="I693" s="12"/>
      <c r="K693" s="28"/>
    </row>
    <row r="694">
      <c r="A694" s="12"/>
      <c r="C694" s="25"/>
      <c r="E694" s="12"/>
      <c r="G694" s="25"/>
      <c r="I694" s="12"/>
      <c r="K694" s="28"/>
    </row>
    <row r="695">
      <c r="A695" s="12"/>
      <c r="C695" s="25"/>
      <c r="E695" s="12"/>
      <c r="G695" s="25"/>
      <c r="I695" s="12"/>
      <c r="K695" s="28"/>
    </row>
    <row r="696">
      <c r="A696" s="12"/>
      <c r="C696" s="25"/>
      <c r="E696" s="12"/>
      <c r="G696" s="25"/>
      <c r="I696" s="12"/>
      <c r="K696" s="28"/>
    </row>
    <row r="697">
      <c r="A697" s="12"/>
      <c r="C697" s="25"/>
      <c r="E697" s="12"/>
      <c r="G697" s="25"/>
      <c r="I697" s="12"/>
      <c r="K697" s="28"/>
    </row>
    <row r="698">
      <c r="A698" s="12"/>
      <c r="C698" s="25"/>
      <c r="E698" s="12"/>
      <c r="G698" s="25"/>
      <c r="I698" s="12"/>
      <c r="K698" s="28"/>
    </row>
    <row r="699">
      <c r="A699" s="12"/>
      <c r="C699" s="25"/>
      <c r="E699" s="12"/>
      <c r="G699" s="25"/>
      <c r="I699" s="12"/>
      <c r="K699" s="28"/>
    </row>
    <row r="700">
      <c r="A700" s="12"/>
      <c r="C700" s="25"/>
      <c r="E700" s="12"/>
      <c r="G700" s="25"/>
      <c r="I700" s="12"/>
      <c r="K700" s="28"/>
    </row>
    <row r="701">
      <c r="A701" s="12"/>
      <c r="C701" s="25"/>
      <c r="E701" s="12"/>
      <c r="G701" s="25"/>
      <c r="I701" s="12"/>
      <c r="K701" s="28"/>
    </row>
    <row r="702">
      <c r="A702" s="12"/>
      <c r="C702" s="25"/>
      <c r="E702" s="12"/>
      <c r="G702" s="25"/>
      <c r="I702" s="12"/>
      <c r="K702" s="28"/>
    </row>
    <row r="703">
      <c r="A703" s="12"/>
      <c r="C703" s="25"/>
      <c r="E703" s="12"/>
      <c r="G703" s="25"/>
      <c r="I703" s="12"/>
      <c r="K703" s="28"/>
    </row>
    <row r="704">
      <c r="A704" s="12"/>
      <c r="C704" s="25"/>
      <c r="E704" s="12"/>
      <c r="G704" s="25"/>
      <c r="I704" s="12"/>
      <c r="K704" s="28"/>
    </row>
    <row r="705">
      <c r="A705" s="12"/>
      <c r="C705" s="25"/>
      <c r="E705" s="12"/>
      <c r="G705" s="25"/>
      <c r="I705" s="12"/>
      <c r="K705" s="28"/>
    </row>
    <row r="706">
      <c r="A706" s="12"/>
      <c r="C706" s="25"/>
      <c r="E706" s="12"/>
      <c r="G706" s="25"/>
      <c r="I706" s="12"/>
      <c r="K706" s="28"/>
    </row>
    <row r="707">
      <c r="A707" s="12"/>
      <c r="C707" s="25"/>
      <c r="E707" s="12"/>
      <c r="G707" s="25"/>
      <c r="I707" s="12"/>
      <c r="K707" s="28"/>
    </row>
    <row r="708">
      <c r="A708" s="12"/>
      <c r="C708" s="25"/>
      <c r="E708" s="12"/>
      <c r="G708" s="25"/>
      <c r="I708" s="12"/>
      <c r="K708" s="28"/>
    </row>
    <row r="709">
      <c r="A709" s="12"/>
      <c r="C709" s="25"/>
      <c r="E709" s="12"/>
      <c r="G709" s="25"/>
      <c r="I709" s="12"/>
      <c r="K709" s="28"/>
    </row>
    <row r="710">
      <c r="A710" s="12"/>
      <c r="C710" s="25"/>
      <c r="E710" s="12"/>
      <c r="G710" s="25"/>
      <c r="I710" s="12"/>
      <c r="K710" s="28"/>
    </row>
    <row r="711">
      <c r="A711" s="12"/>
      <c r="C711" s="25"/>
      <c r="E711" s="12"/>
      <c r="G711" s="25"/>
      <c r="I711" s="12"/>
      <c r="K711" s="28"/>
    </row>
    <row r="712">
      <c r="A712" s="12"/>
      <c r="C712" s="25"/>
      <c r="E712" s="12"/>
      <c r="G712" s="25"/>
      <c r="I712" s="12"/>
      <c r="K712" s="28"/>
    </row>
    <row r="713">
      <c r="A713" s="12"/>
      <c r="C713" s="25"/>
      <c r="E713" s="12"/>
      <c r="G713" s="25"/>
      <c r="I713" s="12"/>
      <c r="K713" s="28"/>
    </row>
    <row r="714">
      <c r="A714" s="12"/>
      <c r="C714" s="25"/>
      <c r="E714" s="12"/>
      <c r="G714" s="25"/>
      <c r="I714" s="12"/>
      <c r="K714" s="28"/>
    </row>
    <row r="715">
      <c r="A715" s="12"/>
      <c r="C715" s="25"/>
      <c r="E715" s="12"/>
      <c r="G715" s="25"/>
      <c r="I715" s="12"/>
      <c r="K715" s="28"/>
    </row>
    <row r="716">
      <c r="A716" s="12"/>
      <c r="C716" s="25"/>
      <c r="E716" s="12"/>
      <c r="G716" s="25"/>
      <c r="I716" s="12"/>
      <c r="K716" s="28"/>
    </row>
    <row r="717">
      <c r="A717" s="12"/>
      <c r="C717" s="25"/>
      <c r="E717" s="12"/>
      <c r="G717" s="25"/>
      <c r="I717" s="12"/>
      <c r="K717" s="28"/>
    </row>
    <row r="718">
      <c r="A718" s="12"/>
      <c r="C718" s="25"/>
      <c r="E718" s="12"/>
      <c r="G718" s="25"/>
      <c r="I718" s="12"/>
      <c r="K718" s="28"/>
    </row>
    <row r="719">
      <c r="A719" s="12"/>
      <c r="C719" s="25"/>
      <c r="E719" s="12"/>
      <c r="G719" s="25"/>
      <c r="I719" s="12"/>
      <c r="K719" s="28"/>
    </row>
    <row r="720">
      <c r="A720" s="12"/>
      <c r="C720" s="25"/>
      <c r="E720" s="12"/>
      <c r="G720" s="25"/>
      <c r="I720" s="12"/>
      <c r="K720" s="28"/>
    </row>
    <row r="721">
      <c r="A721" s="12"/>
      <c r="C721" s="25"/>
      <c r="E721" s="12"/>
      <c r="G721" s="25"/>
      <c r="I721" s="12"/>
      <c r="K721" s="28"/>
    </row>
    <row r="722">
      <c r="A722" s="12"/>
      <c r="C722" s="25"/>
      <c r="E722" s="12"/>
      <c r="G722" s="25"/>
      <c r="I722" s="12"/>
      <c r="K722" s="28"/>
    </row>
    <row r="723">
      <c r="A723" s="12"/>
      <c r="C723" s="25"/>
      <c r="E723" s="12"/>
      <c r="G723" s="25"/>
      <c r="I723" s="12"/>
      <c r="K723" s="28"/>
    </row>
    <row r="724">
      <c r="A724" s="12"/>
      <c r="C724" s="25"/>
      <c r="E724" s="12"/>
      <c r="G724" s="25"/>
      <c r="I724" s="12"/>
      <c r="K724" s="28"/>
    </row>
    <row r="725">
      <c r="A725" s="12"/>
      <c r="C725" s="25"/>
      <c r="E725" s="12"/>
      <c r="G725" s="25"/>
      <c r="I725" s="12"/>
      <c r="K725" s="28"/>
    </row>
    <row r="726">
      <c r="A726" s="12"/>
      <c r="C726" s="25"/>
      <c r="E726" s="12"/>
      <c r="G726" s="25"/>
      <c r="I726" s="12"/>
      <c r="K726" s="28"/>
    </row>
    <row r="727">
      <c r="A727" s="12"/>
      <c r="C727" s="25"/>
      <c r="E727" s="12"/>
      <c r="G727" s="25"/>
      <c r="I727" s="12"/>
      <c r="K727" s="28"/>
    </row>
    <row r="728">
      <c r="A728" s="12"/>
      <c r="C728" s="25"/>
      <c r="E728" s="12"/>
      <c r="G728" s="25"/>
      <c r="I728" s="12"/>
      <c r="K728" s="28"/>
    </row>
    <row r="729">
      <c r="A729" s="12"/>
      <c r="C729" s="25"/>
      <c r="E729" s="12"/>
      <c r="G729" s="25"/>
      <c r="I729" s="12"/>
      <c r="K729" s="28"/>
    </row>
    <row r="730">
      <c r="A730" s="12"/>
      <c r="C730" s="25"/>
      <c r="E730" s="12"/>
      <c r="G730" s="25"/>
      <c r="I730" s="12"/>
      <c r="K730" s="28"/>
    </row>
    <row r="731">
      <c r="A731" s="12"/>
      <c r="C731" s="25"/>
      <c r="E731" s="12"/>
      <c r="G731" s="25"/>
      <c r="I731" s="12"/>
      <c r="K731" s="28"/>
    </row>
    <row r="732">
      <c r="A732" s="12"/>
      <c r="C732" s="25"/>
      <c r="E732" s="12"/>
      <c r="G732" s="25"/>
      <c r="I732" s="12"/>
      <c r="K732" s="28"/>
    </row>
    <row r="733">
      <c r="A733" s="12"/>
      <c r="C733" s="25"/>
      <c r="E733" s="12"/>
      <c r="G733" s="25"/>
      <c r="I733" s="12"/>
      <c r="K733" s="28"/>
    </row>
    <row r="734">
      <c r="A734" s="12"/>
      <c r="C734" s="25"/>
      <c r="E734" s="12"/>
      <c r="G734" s="25"/>
      <c r="I734" s="12"/>
      <c r="K734" s="28"/>
    </row>
    <row r="735">
      <c r="A735" s="12"/>
      <c r="C735" s="25"/>
      <c r="E735" s="12"/>
      <c r="G735" s="25"/>
      <c r="I735" s="12"/>
      <c r="K735" s="28"/>
    </row>
    <row r="736">
      <c r="A736" s="12"/>
      <c r="C736" s="25"/>
      <c r="E736" s="12"/>
      <c r="G736" s="25"/>
      <c r="I736" s="12"/>
      <c r="K736" s="28"/>
    </row>
    <row r="737">
      <c r="A737" s="12"/>
      <c r="C737" s="25"/>
      <c r="E737" s="12"/>
      <c r="G737" s="25"/>
      <c r="I737" s="12"/>
      <c r="K737" s="28"/>
    </row>
    <row r="738">
      <c r="A738" s="12"/>
      <c r="C738" s="25"/>
      <c r="E738" s="12"/>
      <c r="G738" s="25"/>
      <c r="I738" s="12"/>
      <c r="K738" s="28"/>
    </row>
    <row r="739">
      <c r="A739" s="12"/>
      <c r="C739" s="25"/>
      <c r="E739" s="12"/>
      <c r="G739" s="25"/>
      <c r="I739" s="12"/>
      <c r="K739" s="28"/>
    </row>
    <row r="740">
      <c r="A740" s="12"/>
      <c r="C740" s="25"/>
      <c r="E740" s="12"/>
      <c r="G740" s="25"/>
      <c r="I740" s="12"/>
      <c r="K740" s="28"/>
    </row>
    <row r="741">
      <c r="A741" s="12"/>
      <c r="C741" s="25"/>
      <c r="E741" s="12"/>
      <c r="G741" s="25"/>
      <c r="I741" s="12"/>
      <c r="K741" s="28"/>
    </row>
    <row r="742">
      <c r="A742" s="12"/>
      <c r="C742" s="25"/>
      <c r="E742" s="12"/>
      <c r="G742" s="25"/>
      <c r="I742" s="12"/>
      <c r="K742" s="28"/>
    </row>
    <row r="743">
      <c r="A743" s="12"/>
      <c r="C743" s="25"/>
      <c r="E743" s="12"/>
      <c r="G743" s="25"/>
      <c r="I743" s="12"/>
      <c r="K743" s="28"/>
    </row>
    <row r="744">
      <c r="A744" s="12"/>
      <c r="C744" s="25"/>
      <c r="E744" s="12"/>
      <c r="G744" s="25"/>
      <c r="I744" s="12"/>
      <c r="K744" s="28"/>
    </row>
    <row r="745">
      <c r="A745" s="12"/>
      <c r="C745" s="25"/>
      <c r="E745" s="12"/>
      <c r="G745" s="25"/>
      <c r="I745" s="12"/>
      <c r="K745" s="28"/>
    </row>
    <row r="746">
      <c r="A746" s="12"/>
      <c r="C746" s="25"/>
      <c r="E746" s="12"/>
      <c r="G746" s="25"/>
      <c r="I746" s="12"/>
      <c r="K746" s="28"/>
    </row>
    <row r="747">
      <c r="A747" s="12"/>
      <c r="C747" s="25"/>
      <c r="E747" s="12"/>
      <c r="G747" s="25"/>
      <c r="I747" s="12"/>
      <c r="K747" s="28"/>
    </row>
    <row r="748">
      <c r="A748" s="12"/>
      <c r="C748" s="25"/>
      <c r="E748" s="12"/>
      <c r="G748" s="25"/>
      <c r="I748" s="12"/>
      <c r="K748" s="28"/>
    </row>
    <row r="749">
      <c r="A749" s="12"/>
      <c r="C749" s="25"/>
      <c r="E749" s="12"/>
      <c r="G749" s="25"/>
      <c r="I749" s="12"/>
      <c r="K749" s="28"/>
    </row>
    <row r="750">
      <c r="A750" s="12"/>
      <c r="C750" s="25"/>
      <c r="E750" s="12"/>
      <c r="G750" s="25"/>
      <c r="I750" s="12"/>
      <c r="K750" s="28"/>
    </row>
    <row r="751">
      <c r="A751" s="12"/>
      <c r="C751" s="25"/>
      <c r="E751" s="12"/>
      <c r="G751" s="25"/>
      <c r="I751" s="12"/>
      <c r="K751" s="28"/>
    </row>
    <row r="752">
      <c r="A752" s="12"/>
      <c r="C752" s="25"/>
      <c r="E752" s="12"/>
      <c r="G752" s="25"/>
      <c r="I752" s="12"/>
      <c r="K752" s="28"/>
    </row>
    <row r="753">
      <c r="A753" s="12"/>
      <c r="C753" s="25"/>
      <c r="E753" s="12"/>
      <c r="G753" s="25"/>
      <c r="I753" s="12"/>
      <c r="K753" s="28"/>
    </row>
    <row r="754">
      <c r="A754" s="12"/>
      <c r="C754" s="25"/>
      <c r="E754" s="12"/>
      <c r="G754" s="25"/>
      <c r="I754" s="12"/>
      <c r="K754" s="28"/>
    </row>
    <row r="755">
      <c r="A755" s="12"/>
      <c r="C755" s="25"/>
      <c r="E755" s="12"/>
      <c r="G755" s="25"/>
      <c r="I755" s="12"/>
      <c r="K755" s="28"/>
    </row>
    <row r="756">
      <c r="A756" s="12"/>
      <c r="C756" s="25"/>
      <c r="E756" s="12"/>
      <c r="G756" s="25"/>
      <c r="I756" s="12"/>
      <c r="K756" s="28"/>
    </row>
    <row r="757">
      <c r="A757" s="12"/>
      <c r="C757" s="25"/>
      <c r="E757" s="12"/>
      <c r="G757" s="25"/>
      <c r="I757" s="12"/>
      <c r="K757" s="28"/>
    </row>
    <row r="758">
      <c r="A758" s="12"/>
      <c r="C758" s="25"/>
      <c r="E758" s="12"/>
      <c r="G758" s="25"/>
      <c r="I758" s="12"/>
      <c r="K758" s="28"/>
    </row>
    <row r="759">
      <c r="A759" s="12"/>
      <c r="C759" s="25"/>
      <c r="E759" s="12"/>
      <c r="G759" s="25"/>
      <c r="I759" s="12"/>
      <c r="K759" s="28"/>
    </row>
    <row r="760">
      <c r="A760" s="12"/>
      <c r="C760" s="25"/>
      <c r="E760" s="12"/>
      <c r="G760" s="25"/>
      <c r="I760" s="12"/>
      <c r="K760" s="28"/>
    </row>
    <row r="761">
      <c r="A761" s="12"/>
      <c r="C761" s="25"/>
      <c r="E761" s="12"/>
      <c r="G761" s="25"/>
      <c r="I761" s="12"/>
      <c r="K761" s="28"/>
    </row>
    <row r="762">
      <c r="A762" s="12"/>
      <c r="C762" s="25"/>
      <c r="E762" s="12"/>
      <c r="G762" s="25"/>
      <c r="I762" s="12"/>
      <c r="K762" s="28"/>
    </row>
    <row r="763">
      <c r="A763" s="12"/>
      <c r="C763" s="25"/>
      <c r="E763" s="12"/>
      <c r="G763" s="25"/>
      <c r="I763" s="12"/>
      <c r="K763" s="28"/>
    </row>
    <row r="764">
      <c r="A764" s="12"/>
      <c r="C764" s="25"/>
      <c r="E764" s="12"/>
      <c r="G764" s="25"/>
      <c r="I764" s="12"/>
      <c r="K764" s="28"/>
    </row>
    <row r="765">
      <c r="A765" s="12"/>
      <c r="C765" s="25"/>
      <c r="E765" s="12"/>
      <c r="G765" s="25"/>
      <c r="I765" s="12"/>
      <c r="K765" s="28"/>
    </row>
    <row r="766">
      <c r="A766" s="12"/>
      <c r="C766" s="25"/>
      <c r="E766" s="12"/>
      <c r="G766" s="25"/>
      <c r="I766" s="12"/>
      <c r="K766" s="28"/>
    </row>
    <row r="767">
      <c r="A767" s="12"/>
      <c r="C767" s="25"/>
      <c r="E767" s="12"/>
      <c r="G767" s="25"/>
      <c r="I767" s="12"/>
      <c r="K767" s="28"/>
    </row>
    <row r="768">
      <c r="A768" s="12"/>
      <c r="C768" s="25"/>
      <c r="E768" s="12"/>
      <c r="G768" s="25"/>
      <c r="I768" s="12"/>
      <c r="K768" s="28"/>
    </row>
    <row r="769">
      <c r="A769" s="12"/>
      <c r="C769" s="25"/>
      <c r="E769" s="12"/>
      <c r="G769" s="25"/>
      <c r="I769" s="12"/>
      <c r="K769" s="28"/>
    </row>
    <row r="770">
      <c r="A770" s="12"/>
      <c r="C770" s="25"/>
      <c r="E770" s="12"/>
      <c r="G770" s="25"/>
      <c r="I770" s="12"/>
      <c r="K770" s="28"/>
    </row>
    <row r="771">
      <c r="A771" s="12"/>
      <c r="C771" s="25"/>
      <c r="E771" s="12"/>
      <c r="G771" s="25"/>
      <c r="I771" s="12"/>
      <c r="K771" s="28"/>
    </row>
    <row r="772">
      <c r="A772" s="12"/>
      <c r="C772" s="25"/>
      <c r="E772" s="12"/>
      <c r="G772" s="25"/>
      <c r="I772" s="12"/>
      <c r="K772" s="28"/>
    </row>
    <row r="773">
      <c r="A773" s="12"/>
      <c r="C773" s="25"/>
      <c r="E773" s="12"/>
      <c r="G773" s="25"/>
      <c r="I773" s="12"/>
      <c r="K773" s="28"/>
    </row>
    <row r="774">
      <c r="A774" s="12"/>
      <c r="C774" s="25"/>
      <c r="E774" s="12"/>
      <c r="G774" s="25"/>
      <c r="I774" s="12"/>
      <c r="K774" s="28"/>
    </row>
    <row r="775">
      <c r="A775" s="12"/>
      <c r="C775" s="25"/>
      <c r="E775" s="12"/>
      <c r="G775" s="25"/>
      <c r="I775" s="12"/>
      <c r="K775" s="28"/>
    </row>
    <row r="776">
      <c r="A776" s="12"/>
      <c r="C776" s="25"/>
      <c r="E776" s="12"/>
      <c r="G776" s="25"/>
      <c r="I776" s="12"/>
      <c r="K776" s="28"/>
    </row>
    <row r="777">
      <c r="A777" s="12"/>
      <c r="C777" s="25"/>
      <c r="E777" s="12"/>
      <c r="G777" s="25"/>
      <c r="I777" s="12"/>
      <c r="K777" s="28"/>
    </row>
    <row r="778">
      <c r="A778" s="12"/>
      <c r="C778" s="25"/>
      <c r="E778" s="12"/>
      <c r="G778" s="25"/>
      <c r="I778" s="12"/>
      <c r="K778" s="28"/>
    </row>
    <row r="779">
      <c r="A779" s="12"/>
      <c r="C779" s="25"/>
      <c r="E779" s="12"/>
      <c r="G779" s="25"/>
      <c r="I779" s="12"/>
      <c r="K779" s="28"/>
    </row>
    <row r="780">
      <c r="A780" s="12"/>
      <c r="C780" s="25"/>
      <c r="E780" s="12"/>
      <c r="G780" s="25"/>
      <c r="I780" s="12"/>
      <c r="K780" s="28"/>
    </row>
    <row r="781">
      <c r="A781" s="12"/>
      <c r="C781" s="25"/>
      <c r="E781" s="12"/>
      <c r="G781" s="25"/>
      <c r="I781" s="12"/>
      <c r="K781" s="28"/>
    </row>
    <row r="782">
      <c r="A782" s="12"/>
      <c r="C782" s="25"/>
      <c r="E782" s="12"/>
      <c r="G782" s="25"/>
      <c r="I782" s="12"/>
      <c r="K782" s="28"/>
    </row>
    <row r="783">
      <c r="A783" s="12"/>
      <c r="C783" s="25"/>
      <c r="E783" s="12"/>
      <c r="G783" s="25"/>
      <c r="I783" s="12"/>
      <c r="K783" s="28"/>
    </row>
    <row r="784">
      <c r="A784" s="12"/>
      <c r="C784" s="25"/>
      <c r="E784" s="12"/>
      <c r="G784" s="25"/>
      <c r="I784" s="12"/>
      <c r="K784" s="28"/>
    </row>
    <row r="785">
      <c r="A785" s="12"/>
      <c r="C785" s="25"/>
      <c r="E785" s="12"/>
      <c r="G785" s="25"/>
      <c r="I785" s="12"/>
      <c r="K785" s="28"/>
    </row>
    <row r="786">
      <c r="A786" s="12"/>
      <c r="C786" s="25"/>
      <c r="E786" s="12"/>
      <c r="G786" s="25"/>
      <c r="I786" s="12"/>
      <c r="K786" s="28"/>
    </row>
    <row r="787">
      <c r="A787" s="12"/>
      <c r="C787" s="25"/>
      <c r="E787" s="12"/>
      <c r="G787" s="25"/>
      <c r="I787" s="12"/>
      <c r="K787" s="28"/>
    </row>
    <row r="788">
      <c r="A788" s="12"/>
      <c r="C788" s="25"/>
      <c r="E788" s="12"/>
      <c r="G788" s="25"/>
      <c r="I788" s="12"/>
      <c r="K788" s="28"/>
    </row>
    <row r="789">
      <c r="A789" s="12"/>
      <c r="C789" s="25"/>
      <c r="E789" s="12"/>
      <c r="G789" s="25"/>
      <c r="I789" s="12"/>
      <c r="K789" s="28"/>
    </row>
    <row r="790">
      <c r="A790" s="12"/>
      <c r="C790" s="25"/>
      <c r="E790" s="12"/>
      <c r="G790" s="25"/>
      <c r="I790" s="12"/>
      <c r="K790" s="28"/>
    </row>
    <row r="791">
      <c r="A791" s="12"/>
      <c r="C791" s="25"/>
      <c r="E791" s="12"/>
      <c r="G791" s="25"/>
      <c r="I791" s="12"/>
      <c r="K791" s="28"/>
    </row>
    <row r="792">
      <c r="A792" s="12"/>
      <c r="C792" s="25"/>
      <c r="E792" s="12"/>
      <c r="G792" s="25"/>
      <c r="I792" s="12"/>
      <c r="K792" s="28"/>
    </row>
    <row r="793">
      <c r="A793" s="12"/>
      <c r="C793" s="25"/>
      <c r="E793" s="12"/>
      <c r="G793" s="25"/>
      <c r="I793" s="12"/>
      <c r="K793" s="28"/>
    </row>
    <row r="794">
      <c r="A794" s="12"/>
      <c r="C794" s="25"/>
      <c r="E794" s="12"/>
      <c r="G794" s="25"/>
      <c r="I794" s="12"/>
      <c r="K794" s="28"/>
    </row>
    <row r="795">
      <c r="A795" s="12"/>
      <c r="C795" s="25"/>
      <c r="E795" s="12"/>
      <c r="G795" s="25"/>
      <c r="I795" s="12"/>
      <c r="K795" s="28"/>
    </row>
    <row r="796">
      <c r="A796" s="12"/>
      <c r="C796" s="25"/>
      <c r="E796" s="12"/>
      <c r="G796" s="25"/>
      <c r="I796" s="12"/>
      <c r="K796" s="28"/>
    </row>
    <row r="797">
      <c r="A797" s="12"/>
      <c r="C797" s="25"/>
      <c r="E797" s="12"/>
      <c r="G797" s="25"/>
      <c r="I797" s="12"/>
      <c r="K797" s="28"/>
    </row>
    <row r="798">
      <c r="A798" s="12"/>
      <c r="C798" s="25"/>
      <c r="E798" s="12"/>
      <c r="G798" s="25"/>
      <c r="I798" s="12"/>
      <c r="K798" s="28"/>
    </row>
    <row r="799">
      <c r="A799" s="12"/>
      <c r="C799" s="25"/>
      <c r="E799" s="12"/>
      <c r="G799" s="25"/>
      <c r="I799" s="12"/>
      <c r="K799" s="28"/>
    </row>
    <row r="800">
      <c r="A800" s="12"/>
      <c r="C800" s="25"/>
      <c r="E800" s="12"/>
      <c r="G800" s="25"/>
      <c r="I800" s="12"/>
      <c r="K800" s="28"/>
    </row>
    <row r="801">
      <c r="A801" s="12"/>
      <c r="C801" s="25"/>
      <c r="E801" s="12"/>
      <c r="G801" s="25"/>
      <c r="I801" s="12"/>
      <c r="K801" s="28"/>
    </row>
    <row r="802">
      <c r="A802" s="12"/>
      <c r="C802" s="25"/>
      <c r="E802" s="12"/>
      <c r="G802" s="25"/>
      <c r="I802" s="12"/>
      <c r="K802" s="28"/>
    </row>
    <row r="803">
      <c r="A803" s="12"/>
      <c r="C803" s="25"/>
      <c r="E803" s="12"/>
      <c r="G803" s="25"/>
      <c r="I803" s="12"/>
      <c r="K803" s="28"/>
    </row>
    <row r="804">
      <c r="A804" s="12"/>
      <c r="C804" s="25"/>
      <c r="E804" s="12"/>
      <c r="G804" s="25"/>
      <c r="I804" s="12"/>
      <c r="K804" s="28"/>
    </row>
    <row r="805">
      <c r="A805" s="12"/>
      <c r="C805" s="25"/>
      <c r="E805" s="12"/>
      <c r="G805" s="25"/>
      <c r="I805" s="12"/>
      <c r="K805" s="28"/>
    </row>
    <row r="806">
      <c r="A806" s="12"/>
      <c r="C806" s="25"/>
      <c r="E806" s="12"/>
      <c r="G806" s="25"/>
      <c r="I806" s="12"/>
      <c r="K806" s="28"/>
    </row>
    <row r="807">
      <c r="A807" s="12"/>
      <c r="C807" s="25"/>
      <c r="E807" s="12"/>
      <c r="G807" s="25"/>
      <c r="I807" s="12"/>
      <c r="K807" s="28"/>
    </row>
    <row r="808">
      <c r="A808" s="12"/>
      <c r="C808" s="25"/>
      <c r="E808" s="12"/>
      <c r="G808" s="25"/>
      <c r="I808" s="12"/>
      <c r="K808" s="28"/>
    </row>
    <row r="809">
      <c r="A809" s="12"/>
      <c r="C809" s="25"/>
      <c r="E809" s="12"/>
      <c r="G809" s="25"/>
      <c r="I809" s="12"/>
      <c r="K809" s="28"/>
    </row>
    <row r="810">
      <c r="A810" s="12"/>
      <c r="C810" s="25"/>
      <c r="E810" s="12"/>
      <c r="G810" s="25"/>
      <c r="I810" s="12"/>
      <c r="K810" s="28"/>
    </row>
    <row r="811">
      <c r="A811" s="12"/>
      <c r="C811" s="25"/>
      <c r="E811" s="12"/>
      <c r="G811" s="25"/>
      <c r="I811" s="12"/>
      <c r="K811" s="28"/>
    </row>
    <row r="812">
      <c r="A812" s="12"/>
      <c r="C812" s="25"/>
      <c r="E812" s="12"/>
      <c r="G812" s="25"/>
      <c r="I812" s="12"/>
      <c r="K812" s="28"/>
    </row>
    <row r="813">
      <c r="A813" s="12"/>
      <c r="C813" s="25"/>
      <c r="E813" s="12"/>
      <c r="G813" s="25"/>
      <c r="I813" s="12"/>
      <c r="K813" s="28"/>
    </row>
    <row r="814">
      <c r="A814" s="12"/>
      <c r="C814" s="25"/>
      <c r="E814" s="12"/>
      <c r="G814" s="25"/>
      <c r="I814" s="12"/>
      <c r="K814" s="28"/>
    </row>
    <row r="815">
      <c r="A815" s="12"/>
      <c r="C815" s="25"/>
      <c r="E815" s="12"/>
      <c r="G815" s="25"/>
      <c r="I815" s="12"/>
      <c r="K815" s="28"/>
    </row>
    <row r="816">
      <c r="A816" s="12"/>
      <c r="C816" s="25"/>
      <c r="E816" s="12"/>
      <c r="G816" s="25"/>
      <c r="I816" s="12"/>
      <c r="K816" s="28"/>
    </row>
    <row r="817">
      <c r="A817" s="12"/>
      <c r="C817" s="25"/>
      <c r="E817" s="12"/>
      <c r="G817" s="25"/>
      <c r="I817" s="12"/>
      <c r="K817" s="28"/>
    </row>
    <row r="818">
      <c r="A818" s="12"/>
      <c r="C818" s="25"/>
      <c r="E818" s="12"/>
      <c r="G818" s="25"/>
      <c r="I818" s="12"/>
      <c r="K818" s="28"/>
    </row>
    <row r="819">
      <c r="A819" s="12"/>
      <c r="C819" s="25"/>
      <c r="E819" s="12"/>
      <c r="G819" s="25"/>
      <c r="I819" s="12"/>
      <c r="K819" s="28"/>
    </row>
    <row r="820">
      <c r="A820" s="12"/>
      <c r="C820" s="25"/>
      <c r="E820" s="12"/>
      <c r="G820" s="25"/>
      <c r="I820" s="12"/>
      <c r="K820" s="28"/>
    </row>
    <row r="821">
      <c r="A821" s="12"/>
      <c r="C821" s="25"/>
      <c r="E821" s="12"/>
      <c r="G821" s="25"/>
      <c r="I821" s="12"/>
      <c r="K821" s="28"/>
    </row>
    <row r="822">
      <c r="A822" s="12"/>
      <c r="C822" s="25"/>
      <c r="E822" s="12"/>
      <c r="G822" s="25"/>
      <c r="I822" s="12"/>
      <c r="K822" s="28"/>
    </row>
    <row r="823">
      <c r="A823" s="12"/>
      <c r="C823" s="25"/>
      <c r="E823" s="12"/>
      <c r="G823" s="25"/>
      <c r="I823" s="12"/>
      <c r="K823" s="28"/>
    </row>
    <row r="824">
      <c r="A824" s="12"/>
      <c r="C824" s="25"/>
      <c r="E824" s="12"/>
      <c r="G824" s="25"/>
      <c r="I824" s="12"/>
      <c r="K824" s="28"/>
    </row>
    <row r="825">
      <c r="A825" s="12"/>
      <c r="C825" s="25"/>
      <c r="E825" s="12"/>
      <c r="G825" s="25"/>
      <c r="I825" s="12"/>
      <c r="K825" s="28"/>
    </row>
    <row r="826">
      <c r="A826" s="12"/>
      <c r="C826" s="25"/>
      <c r="E826" s="12"/>
      <c r="G826" s="25"/>
      <c r="I826" s="12"/>
      <c r="K826" s="28"/>
    </row>
    <row r="827">
      <c r="A827" s="12"/>
      <c r="C827" s="25"/>
      <c r="E827" s="12"/>
      <c r="G827" s="25"/>
      <c r="I827" s="12"/>
      <c r="K827" s="28"/>
    </row>
    <row r="828">
      <c r="A828" s="12"/>
      <c r="C828" s="25"/>
      <c r="E828" s="12"/>
      <c r="G828" s="25"/>
      <c r="I828" s="12"/>
      <c r="K828" s="28"/>
    </row>
    <row r="829">
      <c r="A829" s="12"/>
      <c r="C829" s="25"/>
      <c r="E829" s="12"/>
      <c r="G829" s="25"/>
      <c r="I829" s="12"/>
      <c r="K829" s="28"/>
    </row>
    <row r="830">
      <c r="A830" s="12"/>
      <c r="C830" s="25"/>
      <c r="E830" s="12"/>
      <c r="G830" s="25"/>
      <c r="I830" s="12"/>
      <c r="K830" s="28"/>
    </row>
    <row r="831">
      <c r="A831" s="12"/>
      <c r="C831" s="25"/>
      <c r="E831" s="12"/>
      <c r="G831" s="25"/>
      <c r="I831" s="12"/>
      <c r="K831" s="28"/>
    </row>
    <row r="832">
      <c r="A832" s="12"/>
      <c r="C832" s="25"/>
      <c r="E832" s="12"/>
      <c r="G832" s="25"/>
      <c r="I832" s="12"/>
      <c r="K832" s="28"/>
    </row>
    <row r="833">
      <c r="A833" s="12"/>
      <c r="C833" s="25"/>
      <c r="E833" s="12"/>
      <c r="G833" s="25"/>
      <c r="I833" s="12"/>
      <c r="K833" s="28"/>
    </row>
    <row r="834">
      <c r="A834" s="12"/>
      <c r="C834" s="25"/>
      <c r="E834" s="12"/>
      <c r="G834" s="25"/>
      <c r="I834" s="12"/>
      <c r="K834" s="28"/>
    </row>
    <row r="835">
      <c r="A835" s="12"/>
      <c r="C835" s="25"/>
      <c r="E835" s="12"/>
      <c r="G835" s="25"/>
      <c r="I835" s="12"/>
      <c r="K835" s="28"/>
    </row>
    <row r="836">
      <c r="A836" s="12"/>
      <c r="C836" s="25"/>
      <c r="E836" s="12"/>
      <c r="G836" s="25"/>
      <c r="I836" s="12"/>
      <c r="K836" s="28"/>
    </row>
    <row r="837">
      <c r="A837" s="12"/>
      <c r="C837" s="25"/>
      <c r="E837" s="12"/>
      <c r="G837" s="25"/>
      <c r="I837" s="12"/>
      <c r="K837" s="28"/>
    </row>
    <row r="838">
      <c r="A838" s="12"/>
      <c r="C838" s="25"/>
      <c r="E838" s="12"/>
      <c r="G838" s="25"/>
      <c r="I838" s="12"/>
      <c r="K838" s="28"/>
    </row>
    <row r="839">
      <c r="A839" s="12"/>
      <c r="C839" s="25"/>
      <c r="E839" s="12"/>
      <c r="G839" s="25"/>
      <c r="I839" s="12"/>
      <c r="K839" s="28"/>
    </row>
    <row r="840">
      <c r="A840" s="12"/>
      <c r="C840" s="25"/>
      <c r="E840" s="12"/>
      <c r="G840" s="25"/>
      <c r="I840" s="12"/>
      <c r="K840" s="28"/>
    </row>
    <row r="841">
      <c r="A841" s="12"/>
      <c r="C841" s="25"/>
      <c r="E841" s="12"/>
      <c r="G841" s="25"/>
      <c r="I841" s="12"/>
      <c r="K841" s="28"/>
    </row>
    <row r="842">
      <c r="A842" s="12"/>
      <c r="C842" s="25"/>
      <c r="E842" s="12"/>
      <c r="G842" s="25"/>
      <c r="I842" s="12"/>
      <c r="K842" s="28"/>
    </row>
    <row r="843">
      <c r="A843" s="12"/>
      <c r="C843" s="25"/>
      <c r="E843" s="12"/>
      <c r="G843" s="25"/>
      <c r="I843" s="12"/>
      <c r="K843" s="28"/>
    </row>
    <row r="844">
      <c r="A844" s="12"/>
      <c r="C844" s="25"/>
      <c r="E844" s="12"/>
      <c r="G844" s="25"/>
      <c r="I844" s="12"/>
      <c r="K844" s="28"/>
    </row>
    <row r="845">
      <c r="A845" s="12"/>
      <c r="C845" s="25"/>
      <c r="E845" s="12"/>
      <c r="G845" s="25"/>
      <c r="I845" s="12"/>
      <c r="K845" s="28"/>
    </row>
    <row r="846">
      <c r="A846" s="12"/>
      <c r="C846" s="25"/>
      <c r="E846" s="12"/>
      <c r="G846" s="25"/>
      <c r="I846" s="12"/>
      <c r="K846" s="28"/>
    </row>
    <row r="847">
      <c r="A847" s="12"/>
      <c r="C847" s="25"/>
      <c r="E847" s="12"/>
      <c r="G847" s="25"/>
      <c r="I847" s="12"/>
      <c r="K847" s="28"/>
    </row>
    <row r="848">
      <c r="A848" s="12"/>
      <c r="C848" s="25"/>
      <c r="E848" s="12"/>
      <c r="G848" s="25"/>
      <c r="I848" s="12"/>
      <c r="K848" s="28"/>
    </row>
    <row r="849">
      <c r="A849" s="12"/>
      <c r="C849" s="25"/>
      <c r="E849" s="12"/>
      <c r="G849" s="25"/>
      <c r="I849" s="12"/>
      <c r="K849" s="28"/>
    </row>
    <row r="850">
      <c r="A850" s="12"/>
      <c r="C850" s="25"/>
      <c r="E850" s="12"/>
      <c r="G850" s="25"/>
      <c r="I850" s="12"/>
      <c r="K850" s="28"/>
    </row>
    <row r="851">
      <c r="A851" s="12"/>
      <c r="C851" s="25"/>
      <c r="E851" s="12"/>
      <c r="G851" s="25"/>
      <c r="I851" s="12"/>
      <c r="K851" s="28"/>
    </row>
    <row r="852">
      <c r="A852" s="12"/>
      <c r="C852" s="25"/>
      <c r="E852" s="12"/>
      <c r="G852" s="25"/>
      <c r="I852" s="12"/>
      <c r="K852" s="28"/>
    </row>
    <row r="853">
      <c r="A853" s="12"/>
      <c r="C853" s="25"/>
      <c r="E853" s="12"/>
      <c r="G853" s="25"/>
      <c r="I853" s="12"/>
      <c r="K853" s="28"/>
    </row>
    <row r="854">
      <c r="A854" s="12"/>
      <c r="C854" s="25"/>
      <c r="E854" s="12"/>
      <c r="G854" s="25"/>
      <c r="I854" s="12"/>
      <c r="K854" s="28"/>
    </row>
    <row r="855">
      <c r="A855" s="12"/>
      <c r="C855" s="25"/>
      <c r="E855" s="12"/>
      <c r="G855" s="25"/>
      <c r="I855" s="12"/>
      <c r="K855" s="28"/>
    </row>
    <row r="856">
      <c r="A856" s="12"/>
      <c r="C856" s="25"/>
      <c r="E856" s="12"/>
      <c r="G856" s="25"/>
      <c r="I856" s="12"/>
      <c r="K856" s="28"/>
    </row>
    <row r="857">
      <c r="A857" s="12"/>
      <c r="C857" s="25"/>
      <c r="E857" s="12"/>
      <c r="G857" s="25"/>
      <c r="I857" s="12"/>
      <c r="K857" s="28"/>
    </row>
    <row r="858">
      <c r="A858" s="12"/>
      <c r="C858" s="25"/>
      <c r="E858" s="12"/>
      <c r="G858" s="25"/>
      <c r="I858" s="12"/>
      <c r="K858" s="28"/>
    </row>
    <row r="859">
      <c r="A859" s="12"/>
      <c r="C859" s="25"/>
      <c r="E859" s="12"/>
      <c r="G859" s="25"/>
      <c r="I859" s="12"/>
      <c r="K859" s="28"/>
    </row>
    <row r="860">
      <c r="A860" s="12"/>
      <c r="C860" s="25"/>
      <c r="E860" s="12"/>
      <c r="G860" s="25"/>
      <c r="I860" s="12"/>
      <c r="K860" s="28"/>
    </row>
    <row r="861">
      <c r="A861" s="12"/>
      <c r="C861" s="25"/>
      <c r="E861" s="12"/>
      <c r="G861" s="25"/>
      <c r="I861" s="12"/>
      <c r="K861" s="28"/>
    </row>
    <row r="862">
      <c r="A862" s="12"/>
      <c r="C862" s="25"/>
      <c r="E862" s="12"/>
      <c r="G862" s="25"/>
      <c r="I862" s="12"/>
      <c r="K862" s="28"/>
    </row>
    <row r="863">
      <c r="A863" s="12"/>
      <c r="C863" s="25"/>
      <c r="E863" s="12"/>
      <c r="G863" s="25"/>
      <c r="I863" s="12"/>
      <c r="K863" s="28"/>
    </row>
    <row r="864">
      <c r="A864" s="12"/>
      <c r="C864" s="25"/>
      <c r="E864" s="12"/>
      <c r="G864" s="25"/>
      <c r="I864" s="12"/>
      <c r="K864" s="28"/>
    </row>
    <row r="865">
      <c r="A865" s="12"/>
      <c r="C865" s="25"/>
      <c r="E865" s="12"/>
      <c r="G865" s="25"/>
      <c r="I865" s="12"/>
      <c r="K865" s="28"/>
    </row>
    <row r="866">
      <c r="A866" s="12"/>
      <c r="C866" s="25"/>
      <c r="E866" s="12"/>
      <c r="G866" s="25"/>
      <c r="I866" s="12"/>
      <c r="K866" s="28"/>
    </row>
    <row r="867">
      <c r="A867" s="12"/>
      <c r="C867" s="25"/>
      <c r="E867" s="12"/>
      <c r="G867" s="25"/>
      <c r="I867" s="12"/>
      <c r="K867" s="28"/>
    </row>
    <row r="868">
      <c r="A868" s="12"/>
      <c r="C868" s="25"/>
      <c r="E868" s="12"/>
      <c r="G868" s="25"/>
      <c r="I868" s="12"/>
      <c r="K868" s="28"/>
    </row>
    <row r="869">
      <c r="A869" s="12"/>
      <c r="C869" s="25"/>
      <c r="E869" s="12"/>
      <c r="G869" s="25"/>
      <c r="I869" s="12"/>
      <c r="K869" s="28"/>
    </row>
    <row r="870">
      <c r="A870" s="12"/>
      <c r="C870" s="25"/>
      <c r="E870" s="12"/>
      <c r="G870" s="25"/>
      <c r="I870" s="12"/>
      <c r="K870" s="28"/>
    </row>
    <row r="871">
      <c r="A871" s="12"/>
      <c r="C871" s="25"/>
      <c r="E871" s="12"/>
      <c r="G871" s="25"/>
      <c r="I871" s="12"/>
      <c r="K871" s="28"/>
    </row>
    <row r="872">
      <c r="A872" s="12"/>
      <c r="C872" s="25"/>
      <c r="E872" s="12"/>
      <c r="G872" s="25"/>
      <c r="I872" s="12"/>
      <c r="K872" s="28"/>
    </row>
    <row r="873">
      <c r="A873" s="12"/>
      <c r="C873" s="25"/>
      <c r="E873" s="12"/>
      <c r="G873" s="25"/>
      <c r="I873" s="12"/>
      <c r="K873" s="28"/>
    </row>
    <row r="874">
      <c r="A874" s="12"/>
      <c r="C874" s="25"/>
      <c r="E874" s="12"/>
      <c r="G874" s="25"/>
      <c r="I874" s="12"/>
      <c r="K874" s="28"/>
    </row>
    <row r="875">
      <c r="A875" s="12"/>
      <c r="C875" s="25"/>
      <c r="E875" s="12"/>
      <c r="G875" s="25"/>
      <c r="I875" s="12"/>
      <c r="K875" s="28"/>
    </row>
    <row r="876">
      <c r="A876" s="12"/>
      <c r="C876" s="25"/>
      <c r="E876" s="12"/>
      <c r="G876" s="25"/>
      <c r="I876" s="12"/>
      <c r="K876" s="28"/>
    </row>
    <row r="877">
      <c r="A877" s="12"/>
      <c r="C877" s="25"/>
      <c r="E877" s="12"/>
      <c r="G877" s="25"/>
      <c r="I877" s="12"/>
      <c r="K877" s="28"/>
    </row>
    <row r="878">
      <c r="A878" s="12"/>
      <c r="C878" s="25"/>
      <c r="E878" s="12"/>
      <c r="G878" s="25"/>
      <c r="I878" s="12"/>
      <c r="K878" s="28"/>
    </row>
    <row r="879">
      <c r="A879" s="12"/>
      <c r="C879" s="25"/>
      <c r="E879" s="12"/>
      <c r="G879" s="25"/>
      <c r="I879" s="12"/>
      <c r="K879" s="28"/>
    </row>
    <row r="880">
      <c r="A880" s="12"/>
      <c r="C880" s="25"/>
      <c r="E880" s="12"/>
      <c r="G880" s="25"/>
      <c r="I880" s="12"/>
      <c r="K880" s="28"/>
    </row>
    <row r="881">
      <c r="A881" s="12"/>
      <c r="C881" s="25"/>
      <c r="E881" s="12"/>
      <c r="G881" s="25"/>
      <c r="I881" s="12"/>
      <c r="K881" s="28"/>
    </row>
    <row r="882">
      <c r="A882" s="12"/>
      <c r="C882" s="25"/>
      <c r="E882" s="12"/>
      <c r="G882" s="25"/>
      <c r="I882" s="12"/>
      <c r="K882" s="28"/>
    </row>
    <row r="883">
      <c r="A883" s="12"/>
      <c r="C883" s="25"/>
      <c r="E883" s="12"/>
      <c r="G883" s="25"/>
      <c r="I883" s="12"/>
      <c r="K883" s="28"/>
    </row>
    <row r="884">
      <c r="A884" s="12"/>
      <c r="C884" s="25"/>
      <c r="E884" s="12"/>
      <c r="G884" s="25"/>
      <c r="I884" s="12"/>
      <c r="K884" s="28"/>
    </row>
    <row r="885">
      <c r="A885" s="12"/>
      <c r="C885" s="25"/>
      <c r="E885" s="12"/>
      <c r="G885" s="25"/>
      <c r="I885" s="12"/>
      <c r="K885" s="28"/>
    </row>
    <row r="886">
      <c r="A886" s="12"/>
      <c r="C886" s="25"/>
      <c r="E886" s="12"/>
      <c r="G886" s="25"/>
      <c r="I886" s="12"/>
      <c r="K886" s="28"/>
    </row>
    <row r="887">
      <c r="A887" s="12"/>
      <c r="C887" s="25"/>
      <c r="E887" s="12"/>
      <c r="G887" s="25"/>
      <c r="I887" s="12"/>
      <c r="K887" s="28"/>
    </row>
    <row r="888">
      <c r="A888" s="12"/>
      <c r="C888" s="25"/>
      <c r="E888" s="12"/>
      <c r="G888" s="25"/>
      <c r="I888" s="12"/>
      <c r="K888" s="28"/>
    </row>
    <row r="889">
      <c r="A889" s="12"/>
      <c r="C889" s="25"/>
      <c r="E889" s="12"/>
      <c r="G889" s="25"/>
      <c r="I889" s="12"/>
      <c r="K889" s="28"/>
    </row>
    <row r="890">
      <c r="A890" s="12"/>
      <c r="C890" s="25"/>
      <c r="E890" s="12"/>
      <c r="G890" s="25"/>
      <c r="I890" s="12"/>
      <c r="K890" s="28"/>
    </row>
    <row r="891">
      <c r="A891" s="12"/>
      <c r="C891" s="25"/>
      <c r="E891" s="12"/>
      <c r="G891" s="25"/>
      <c r="I891" s="12"/>
      <c r="K891" s="28"/>
    </row>
    <row r="892">
      <c r="A892" s="12"/>
      <c r="C892" s="25"/>
      <c r="E892" s="12"/>
      <c r="G892" s="25"/>
      <c r="I892" s="12"/>
      <c r="K892" s="28"/>
    </row>
    <row r="893">
      <c r="A893" s="12"/>
      <c r="C893" s="25"/>
      <c r="E893" s="12"/>
      <c r="G893" s="25"/>
      <c r="I893" s="12"/>
      <c r="K893" s="28"/>
    </row>
    <row r="894">
      <c r="A894" s="12"/>
      <c r="C894" s="25"/>
      <c r="E894" s="12"/>
      <c r="G894" s="25"/>
      <c r="I894" s="12"/>
      <c r="K894" s="28"/>
    </row>
    <row r="895">
      <c r="A895" s="12"/>
      <c r="C895" s="25"/>
      <c r="E895" s="12"/>
      <c r="G895" s="25"/>
      <c r="I895" s="12"/>
      <c r="K895" s="28"/>
    </row>
    <row r="896">
      <c r="A896" s="12"/>
      <c r="C896" s="25"/>
      <c r="E896" s="12"/>
      <c r="G896" s="25"/>
      <c r="I896" s="12"/>
      <c r="K896" s="28"/>
    </row>
    <row r="897">
      <c r="A897" s="12"/>
      <c r="C897" s="25"/>
      <c r="E897" s="12"/>
      <c r="G897" s="25"/>
      <c r="I897" s="12"/>
      <c r="K897" s="28"/>
    </row>
    <row r="898">
      <c r="A898" s="12"/>
      <c r="C898" s="25"/>
      <c r="E898" s="12"/>
      <c r="G898" s="25"/>
      <c r="I898" s="12"/>
      <c r="K898" s="28"/>
    </row>
    <row r="899">
      <c r="A899" s="12"/>
      <c r="C899" s="25"/>
      <c r="E899" s="12"/>
      <c r="G899" s="25"/>
      <c r="I899" s="12"/>
      <c r="K899" s="28"/>
    </row>
    <row r="900">
      <c r="A900" s="12"/>
      <c r="C900" s="25"/>
      <c r="E900" s="12"/>
      <c r="G900" s="25"/>
      <c r="I900" s="12"/>
      <c r="K900" s="28"/>
    </row>
    <row r="901">
      <c r="A901" s="12"/>
      <c r="C901" s="25"/>
      <c r="E901" s="12"/>
      <c r="G901" s="25"/>
      <c r="I901" s="12"/>
      <c r="K901" s="28"/>
    </row>
    <row r="902">
      <c r="A902" s="12"/>
      <c r="C902" s="25"/>
      <c r="E902" s="12"/>
      <c r="G902" s="25"/>
      <c r="I902" s="12"/>
      <c r="K902" s="28"/>
    </row>
    <row r="903">
      <c r="A903" s="12"/>
      <c r="C903" s="25"/>
      <c r="E903" s="12"/>
      <c r="G903" s="25"/>
      <c r="I903" s="12"/>
      <c r="K903" s="28"/>
    </row>
    <row r="904">
      <c r="A904" s="12"/>
      <c r="C904" s="25"/>
      <c r="E904" s="12"/>
      <c r="G904" s="25"/>
      <c r="I904" s="12"/>
      <c r="K904" s="28"/>
    </row>
    <row r="905">
      <c r="A905" s="12"/>
      <c r="C905" s="25"/>
      <c r="E905" s="12"/>
      <c r="G905" s="25"/>
      <c r="I905" s="12"/>
      <c r="K905" s="28"/>
    </row>
    <row r="906">
      <c r="A906" s="12"/>
      <c r="C906" s="25"/>
      <c r="E906" s="12"/>
      <c r="G906" s="25"/>
      <c r="I906" s="12"/>
      <c r="K906" s="28"/>
    </row>
    <row r="907">
      <c r="A907" s="12"/>
      <c r="C907" s="25"/>
      <c r="E907" s="12"/>
      <c r="G907" s="25"/>
      <c r="I907" s="12"/>
      <c r="K907" s="28"/>
    </row>
    <row r="908">
      <c r="A908" s="12"/>
      <c r="C908" s="25"/>
      <c r="E908" s="12"/>
      <c r="G908" s="25"/>
      <c r="I908" s="12"/>
      <c r="K908" s="28"/>
    </row>
    <row r="909">
      <c r="A909" s="12"/>
      <c r="C909" s="25"/>
      <c r="E909" s="12"/>
      <c r="G909" s="25"/>
      <c r="I909" s="12"/>
      <c r="K909" s="28"/>
    </row>
    <row r="910">
      <c r="A910" s="12"/>
      <c r="C910" s="25"/>
      <c r="E910" s="12"/>
      <c r="G910" s="25"/>
      <c r="I910" s="12"/>
      <c r="K910" s="28"/>
    </row>
    <row r="911">
      <c r="A911" s="12"/>
      <c r="C911" s="25"/>
      <c r="E911" s="12"/>
      <c r="G911" s="25"/>
      <c r="I911" s="12"/>
      <c r="K911" s="28"/>
    </row>
    <row r="912">
      <c r="A912" s="12"/>
      <c r="C912" s="25"/>
      <c r="E912" s="12"/>
      <c r="G912" s="25"/>
      <c r="I912" s="12"/>
      <c r="K912" s="28"/>
    </row>
    <row r="913">
      <c r="A913" s="12"/>
      <c r="C913" s="25"/>
      <c r="E913" s="12"/>
      <c r="G913" s="25"/>
      <c r="I913" s="12"/>
      <c r="K913" s="28"/>
    </row>
    <row r="914">
      <c r="A914" s="12"/>
      <c r="C914" s="25"/>
      <c r="E914" s="12"/>
      <c r="G914" s="25"/>
      <c r="I914" s="12"/>
      <c r="K914" s="28"/>
    </row>
    <row r="915">
      <c r="A915" s="12"/>
      <c r="C915" s="25"/>
      <c r="E915" s="12"/>
      <c r="G915" s="25"/>
      <c r="I915" s="12"/>
      <c r="K915" s="28"/>
    </row>
    <row r="916">
      <c r="A916" s="12"/>
      <c r="C916" s="25"/>
      <c r="E916" s="12"/>
      <c r="G916" s="25"/>
      <c r="I916" s="12"/>
      <c r="K916" s="28"/>
    </row>
    <row r="917">
      <c r="A917" s="12"/>
      <c r="C917" s="25"/>
      <c r="E917" s="12"/>
      <c r="G917" s="25"/>
      <c r="I917" s="12"/>
      <c r="K917" s="28"/>
    </row>
    <row r="918">
      <c r="A918" s="12"/>
      <c r="C918" s="25"/>
      <c r="E918" s="12"/>
      <c r="G918" s="25"/>
      <c r="I918" s="12"/>
      <c r="K918" s="28"/>
    </row>
    <row r="919">
      <c r="A919" s="12"/>
      <c r="C919" s="25"/>
      <c r="E919" s="12"/>
      <c r="G919" s="25"/>
      <c r="I919" s="12"/>
      <c r="K919" s="28"/>
    </row>
    <row r="920">
      <c r="A920" s="12"/>
      <c r="C920" s="25"/>
      <c r="E920" s="12"/>
      <c r="G920" s="25"/>
      <c r="I920" s="12"/>
      <c r="K920" s="28"/>
    </row>
    <row r="921">
      <c r="A921" s="12"/>
      <c r="C921" s="25"/>
      <c r="E921" s="12"/>
      <c r="G921" s="25"/>
      <c r="I921" s="12"/>
      <c r="K921" s="28"/>
    </row>
    <row r="922">
      <c r="A922" s="12"/>
      <c r="C922" s="25"/>
      <c r="E922" s="12"/>
      <c r="G922" s="25"/>
      <c r="I922" s="12"/>
      <c r="K922" s="28"/>
    </row>
    <row r="923">
      <c r="A923" s="12"/>
      <c r="C923" s="25"/>
      <c r="E923" s="12"/>
      <c r="G923" s="25"/>
      <c r="I923" s="12"/>
      <c r="K923" s="28"/>
    </row>
    <row r="924">
      <c r="A924" s="12"/>
      <c r="C924" s="25"/>
      <c r="E924" s="12"/>
      <c r="G924" s="25"/>
      <c r="I924" s="12"/>
      <c r="K924" s="28"/>
    </row>
    <row r="925">
      <c r="A925" s="12"/>
      <c r="C925" s="25"/>
      <c r="E925" s="12"/>
      <c r="G925" s="25"/>
      <c r="I925" s="12"/>
      <c r="K925" s="28"/>
    </row>
    <row r="926">
      <c r="A926" s="12"/>
      <c r="C926" s="25"/>
      <c r="E926" s="12"/>
      <c r="G926" s="25"/>
      <c r="I926" s="12"/>
      <c r="K926" s="28"/>
    </row>
    <row r="927">
      <c r="A927" s="12"/>
      <c r="C927" s="25"/>
      <c r="E927" s="12"/>
      <c r="G927" s="25"/>
      <c r="I927" s="12"/>
      <c r="K927" s="28"/>
    </row>
    <row r="928">
      <c r="A928" s="12"/>
      <c r="C928" s="25"/>
      <c r="E928" s="12"/>
      <c r="G928" s="25"/>
      <c r="I928" s="12"/>
      <c r="K928" s="28"/>
    </row>
    <row r="929">
      <c r="A929" s="12"/>
      <c r="C929" s="25"/>
      <c r="E929" s="12"/>
      <c r="G929" s="25"/>
      <c r="I929" s="12"/>
      <c r="K929" s="28"/>
    </row>
    <row r="930">
      <c r="A930" s="12"/>
      <c r="C930" s="25"/>
      <c r="E930" s="12"/>
      <c r="G930" s="25"/>
      <c r="I930" s="12"/>
      <c r="K930" s="28"/>
    </row>
    <row r="931">
      <c r="A931" s="12"/>
      <c r="C931" s="25"/>
      <c r="E931" s="12"/>
      <c r="G931" s="25"/>
      <c r="I931" s="12"/>
      <c r="K931" s="28"/>
    </row>
    <row r="932">
      <c r="A932" s="12"/>
      <c r="C932" s="25"/>
      <c r="E932" s="12"/>
      <c r="G932" s="25"/>
      <c r="I932" s="12"/>
      <c r="K932" s="28"/>
    </row>
    <row r="933">
      <c r="A933" s="12"/>
      <c r="C933" s="25"/>
      <c r="E933" s="12"/>
      <c r="G933" s="25"/>
      <c r="I933" s="12"/>
      <c r="K933" s="28"/>
    </row>
    <row r="934">
      <c r="A934" s="12"/>
      <c r="C934" s="25"/>
      <c r="E934" s="12"/>
      <c r="G934" s="25"/>
      <c r="I934" s="12"/>
      <c r="K934" s="28"/>
    </row>
    <row r="935">
      <c r="A935" s="12"/>
      <c r="C935" s="25"/>
      <c r="E935" s="12"/>
      <c r="G935" s="25"/>
      <c r="I935" s="12"/>
      <c r="K935" s="28"/>
    </row>
    <row r="936">
      <c r="A936" s="12"/>
      <c r="C936" s="25"/>
      <c r="E936" s="12"/>
      <c r="G936" s="25"/>
      <c r="I936" s="12"/>
      <c r="K936" s="28"/>
    </row>
    <row r="937">
      <c r="A937" s="12"/>
      <c r="C937" s="25"/>
      <c r="E937" s="12"/>
      <c r="G937" s="25"/>
      <c r="I937" s="12"/>
      <c r="K937" s="28"/>
    </row>
    <row r="938">
      <c r="A938" s="12"/>
      <c r="C938" s="25"/>
      <c r="E938" s="12"/>
      <c r="G938" s="25"/>
      <c r="I938" s="12"/>
      <c r="K938" s="28"/>
    </row>
    <row r="939">
      <c r="A939" s="12"/>
      <c r="C939" s="25"/>
      <c r="E939" s="12"/>
      <c r="G939" s="25"/>
      <c r="I939" s="12"/>
      <c r="K939" s="28"/>
    </row>
    <row r="940">
      <c r="A940" s="12"/>
      <c r="C940" s="25"/>
      <c r="E940" s="12"/>
      <c r="G940" s="25"/>
      <c r="I940" s="12"/>
      <c r="K940" s="28"/>
    </row>
    <row r="941">
      <c r="A941" s="12"/>
      <c r="C941" s="25"/>
      <c r="E941" s="12"/>
      <c r="G941" s="25"/>
      <c r="I941" s="12"/>
      <c r="K941" s="28"/>
    </row>
    <row r="942">
      <c r="A942" s="12"/>
      <c r="C942" s="25"/>
      <c r="E942" s="12"/>
      <c r="G942" s="25"/>
      <c r="I942" s="12"/>
      <c r="K942" s="28"/>
    </row>
    <row r="943">
      <c r="A943" s="12"/>
      <c r="C943" s="25"/>
      <c r="E943" s="12"/>
      <c r="G943" s="25"/>
      <c r="I943" s="12"/>
      <c r="K943" s="28"/>
    </row>
    <row r="944">
      <c r="A944" s="12"/>
      <c r="C944" s="25"/>
      <c r="E944" s="12"/>
      <c r="G944" s="25"/>
      <c r="I944" s="12"/>
      <c r="K944" s="28"/>
    </row>
    <row r="945">
      <c r="A945" s="12"/>
      <c r="C945" s="25"/>
      <c r="E945" s="12"/>
      <c r="G945" s="25"/>
      <c r="I945" s="12"/>
      <c r="K945" s="28"/>
    </row>
    <row r="946">
      <c r="A946" s="12"/>
      <c r="C946" s="25"/>
      <c r="E946" s="12"/>
      <c r="G946" s="25"/>
      <c r="I946" s="12"/>
      <c r="K946" s="28"/>
    </row>
    <row r="947">
      <c r="A947" s="12"/>
      <c r="C947" s="25"/>
      <c r="E947" s="12"/>
      <c r="G947" s="25"/>
      <c r="I947" s="12"/>
      <c r="K947" s="28"/>
    </row>
    <row r="948">
      <c r="A948" s="12"/>
      <c r="C948" s="25"/>
      <c r="E948" s="12"/>
      <c r="G948" s="25"/>
      <c r="I948" s="12"/>
      <c r="K948" s="28"/>
    </row>
    <row r="949">
      <c r="A949" s="12"/>
      <c r="C949" s="25"/>
      <c r="E949" s="12"/>
      <c r="G949" s="25"/>
      <c r="I949" s="12"/>
      <c r="K949" s="28"/>
    </row>
    <row r="950">
      <c r="A950" s="12"/>
      <c r="C950" s="25"/>
      <c r="E950" s="12"/>
      <c r="G950" s="25"/>
      <c r="I950" s="12"/>
      <c r="K950" s="28"/>
    </row>
    <row r="951">
      <c r="A951" s="12"/>
      <c r="C951" s="25"/>
      <c r="E951" s="12"/>
      <c r="G951" s="25"/>
      <c r="I951" s="12"/>
      <c r="K951" s="28"/>
    </row>
    <row r="952">
      <c r="A952" s="12"/>
      <c r="C952" s="25"/>
      <c r="E952" s="12"/>
      <c r="G952" s="25"/>
      <c r="I952" s="12"/>
      <c r="K952" s="28"/>
    </row>
    <row r="953">
      <c r="A953" s="12"/>
      <c r="C953" s="25"/>
      <c r="E953" s="12"/>
      <c r="G953" s="25"/>
      <c r="I953" s="12"/>
      <c r="K953" s="28"/>
    </row>
    <row r="954">
      <c r="A954" s="12"/>
      <c r="C954" s="25"/>
      <c r="E954" s="12"/>
      <c r="G954" s="25"/>
      <c r="I954" s="12"/>
      <c r="K954" s="28"/>
    </row>
    <row r="955">
      <c r="A955" s="12"/>
      <c r="C955" s="25"/>
      <c r="E955" s="12"/>
      <c r="G955" s="25"/>
      <c r="I955" s="12"/>
      <c r="K955" s="28"/>
    </row>
    <row r="956">
      <c r="A956" s="12"/>
      <c r="C956" s="25"/>
      <c r="E956" s="12"/>
      <c r="G956" s="25"/>
      <c r="I956" s="12"/>
      <c r="K956" s="28"/>
    </row>
    <row r="957">
      <c r="A957" s="12"/>
      <c r="C957" s="25"/>
      <c r="E957" s="12"/>
      <c r="G957" s="25"/>
      <c r="I957" s="12"/>
      <c r="K957" s="28"/>
    </row>
    <row r="958">
      <c r="A958" s="12"/>
      <c r="C958" s="25"/>
      <c r="E958" s="12"/>
      <c r="G958" s="25"/>
      <c r="I958" s="12"/>
      <c r="K958" s="28"/>
    </row>
    <row r="959">
      <c r="A959" s="12"/>
      <c r="C959" s="25"/>
      <c r="E959" s="12"/>
      <c r="G959" s="25"/>
      <c r="I959" s="12"/>
      <c r="K959" s="28"/>
    </row>
    <row r="960">
      <c r="A960" s="12"/>
      <c r="C960" s="25"/>
      <c r="E960" s="12"/>
      <c r="G960" s="25"/>
      <c r="I960" s="12"/>
      <c r="K960" s="28"/>
    </row>
    <row r="961">
      <c r="A961" s="12"/>
      <c r="C961" s="25"/>
      <c r="E961" s="12"/>
      <c r="G961" s="25"/>
      <c r="I961" s="12"/>
      <c r="K961" s="28"/>
    </row>
    <row r="962">
      <c r="A962" s="12"/>
      <c r="C962" s="25"/>
      <c r="E962" s="12"/>
      <c r="G962" s="25"/>
      <c r="I962" s="12"/>
      <c r="K962" s="28"/>
    </row>
    <row r="963">
      <c r="A963" s="12"/>
      <c r="C963" s="25"/>
      <c r="E963" s="12"/>
      <c r="G963" s="25"/>
      <c r="I963" s="12"/>
      <c r="K963" s="28"/>
    </row>
    <row r="964">
      <c r="A964" s="12"/>
      <c r="C964" s="25"/>
      <c r="E964" s="12"/>
      <c r="G964" s="25"/>
      <c r="I964" s="12"/>
      <c r="K964" s="28"/>
    </row>
    <row r="965">
      <c r="A965" s="12"/>
      <c r="C965" s="25"/>
      <c r="E965" s="12"/>
      <c r="G965" s="25"/>
      <c r="I965" s="12"/>
      <c r="K965" s="28"/>
    </row>
    <row r="966">
      <c r="A966" s="12"/>
      <c r="C966" s="25"/>
      <c r="E966" s="12"/>
      <c r="G966" s="25"/>
      <c r="I966" s="12"/>
      <c r="K966" s="28"/>
    </row>
    <row r="967">
      <c r="A967" s="12"/>
      <c r="C967" s="25"/>
      <c r="E967" s="12"/>
      <c r="G967" s="25"/>
      <c r="I967" s="12"/>
      <c r="K967" s="28"/>
    </row>
    <row r="968">
      <c r="A968" s="12"/>
      <c r="C968" s="25"/>
      <c r="E968" s="12"/>
      <c r="G968" s="25"/>
      <c r="I968" s="12"/>
      <c r="K968" s="28"/>
    </row>
    <row r="969">
      <c r="A969" s="12"/>
      <c r="C969" s="25"/>
      <c r="E969" s="12"/>
      <c r="G969" s="25"/>
      <c r="I969" s="12"/>
      <c r="K969" s="28"/>
    </row>
    <row r="970">
      <c r="A970" s="12"/>
      <c r="C970" s="25"/>
      <c r="E970" s="12"/>
      <c r="G970" s="25"/>
      <c r="I970" s="12"/>
      <c r="K970" s="28"/>
    </row>
    <row r="971">
      <c r="A971" s="12"/>
      <c r="C971" s="25"/>
      <c r="E971" s="12"/>
      <c r="G971" s="25"/>
      <c r="I971" s="12"/>
      <c r="K971" s="28"/>
    </row>
    <row r="972">
      <c r="A972" s="12"/>
      <c r="C972" s="25"/>
      <c r="E972" s="12"/>
      <c r="G972" s="25"/>
      <c r="I972" s="12"/>
      <c r="K972" s="28"/>
    </row>
    <row r="973">
      <c r="A973" s="12"/>
      <c r="C973" s="25"/>
      <c r="E973" s="12"/>
      <c r="G973" s="25"/>
      <c r="I973" s="12"/>
      <c r="K973" s="28"/>
    </row>
    <row r="974">
      <c r="A974" s="12"/>
      <c r="C974" s="25"/>
      <c r="E974" s="12"/>
      <c r="G974" s="25"/>
      <c r="I974" s="12"/>
      <c r="K974" s="28"/>
    </row>
    <row r="975">
      <c r="A975" s="12"/>
      <c r="C975" s="25"/>
      <c r="E975" s="12"/>
      <c r="G975" s="25"/>
      <c r="I975" s="12"/>
      <c r="K975" s="28"/>
    </row>
    <row r="976">
      <c r="A976" s="12"/>
      <c r="C976" s="25"/>
      <c r="E976" s="12"/>
      <c r="G976" s="25"/>
      <c r="I976" s="12"/>
      <c r="K976" s="28"/>
    </row>
    <row r="977">
      <c r="A977" s="12"/>
      <c r="C977" s="25"/>
      <c r="E977" s="12"/>
      <c r="G977" s="25"/>
      <c r="I977" s="12"/>
      <c r="K977" s="28"/>
    </row>
    <row r="978">
      <c r="A978" s="12"/>
      <c r="C978" s="25"/>
      <c r="E978" s="12"/>
      <c r="G978" s="25"/>
      <c r="I978" s="12"/>
      <c r="K978" s="28"/>
    </row>
    <row r="979">
      <c r="A979" s="12"/>
      <c r="C979" s="25"/>
      <c r="E979" s="12"/>
      <c r="G979" s="25"/>
      <c r="I979" s="12"/>
      <c r="K979" s="28"/>
    </row>
    <row r="980">
      <c r="A980" s="12"/>
      <c r="C980" s="25"/>
      <c r="E980" s="12"/>
      <c r="G980" s="25"/>
      <c r="I980" s="12"/>
      <c r="K980" s="28"/>
    </row>
    <row r="981">
      <c r="A981" s="12"/>
      <c r="C981" s="25"/>
      <c r="E981" s="12"/>
      <c r="G981" s="25"/>
      <c r="I981" s="12"/>
      <c r="K981" s="28"/>
    </row>
    <row r="982">
      <c r="A982" s="12"/>
      <c r="C982" s="25"/>
      <c r="E982" s="12"/>
      <c r="G982" s="25"/>
      <c r="I982" s="12"/>
      <c r="K982" s="28"/>
    </row>
    <row r="983">
      <c r="A983" s="12"/>
      <c r="C983" s="25"/>
      <c r="E983" s="12"/>
      <c r="G983" s="25"/>
      <c r="I983" s="12"/>
      <c r="K983" s="28"/>
    </row>
    <row r="984">
      <c r="A984" s="12"/>
      <c r="C984" s="25"/>
      <c r="E984" s="12"/>
      <c r="G984" s="25"/>
      <c r="I984" s="12"/>
      <c r="K984" s="28"/>
    </row>
    <row r="985">
      <c r="A985" s="12"/>
      <c r="C985" s="25"/>
      <c r="E985" s="12"/>
      <c r="G985" s="25"/>
      <c r="I985" s="12"/>
      <c r="K985" s="28"/>
    </row>
    <row r="986">
      <c r="A986" s="12"/>
      <c r="C986" s="25"/>
      <c r="E986" s="12"/>
      <c r="G986" s="25"/>
      <c r="I986" s="12"/>
      <c r="K986" s="28"/>
    </row>
    <row r="987">
      <c r="A987" s="12"/>
      <c r="C987" s="25"/>
      <c r="E987" s="12"/>
      <c r="G987" s="25"/>
      <c r="I987" s="12"/>
      <c r="K987" s="28"/>
    </row>
    <row r="988">
      <c r="A988" s="12"/>
      <c r="C988" s="25"/>
      <c r="E988" s="12"/>
      <c r="G988" s="25"/>
      <c r="I988" s="12"/>
      <c r="K988" s="28"/>
    </row>
    <row r="989">
      <c r="A989" s="12"/>
      <c r="C989" s="25"/>
      <c r="E989" s="12"/>
      <c r="G989" s="25"/>
      <c r="I989" s="12"/>
      <c r="K989" s="28"/>
    </row>
    <row r="990">
      <c r="A990" s="12"/>
      <c r="C990" s="25"/>
      <c r="E990" s="12"/>
      <c r="G990" s="25"/>
      <c r="I990" s="12"/>
      <c r="K990" s="28"/>
    </row>
    <row r="991">
      <c r="A991" s="12"/>
      <c r="C991" s="25"/>
      <c r="E991" s="12"/>
      <c r="G991" s="25"/>
      <c r="I991" s="12"/>
      <c r="K991" s="28"/>
    </row>
    <row r="992">
      <c r="A992" s="12"/>
      <c r="C992" s="25"/>
      <c r="E992" s="12"/>
      <c r="G992" s="25"/>
      <c r="I992" s="12"/>
      <c r="K992" s="28"/>
    </row>
    <row r="993">
      <c r="A993" s="12"/>
      <c r="C993" s="25"/>
      <c r="E993" s="12"/>
      <c r="G993" s="25"/>
      <c r="I993" s="12"/>
      <c r="K993" s="28"/>
    </row>
    <row r="994">
      <c r="A994" s="12"/>
      <c r="C994" s="25"/>
      <c r="E994" s="12"/>
      <c r="G994" s="25"/>
      <c r="I994" s="12"/>
      <c r="K994" s="28"/>
    </row>
    <row r="995">
      <c r="A995" s="12"/>
      <c r="C995" s="25"/>
      <c r="E995" s="12"/>
      <c r="G995" s="25"/>
      <c r="I995" s="12"/>
      <c r="K995" s="28"/>
    </row>
    <row r="996">
      <c r="A996" s="12"/>
      <c r="C996" s="25"/>
      <c r="G996" s="25"/>
      <c r="I996" s="12"/>
      <c r="K996" s="28"/>
    </row>
    <row r="997">
      <c r="A997" s="12"/>
      <c r="C997" s="25"/>
      <c r="G997" s="25"/>
      <c r="I997" s="12"/>
      <c r="K997" s="28"/>
    </row>
    <row r="998">
      <c r="A998" s="12"/>
      <c r="C998" s="25"/>
      <c r="G998" s="25"/>
      <c r="I998" s="12"/>
      <c r="K998" s="28"/>
    </row>
    <row r="999">
      <c r="C999" s="25"/>
      <c r="G999" s="25"/>
      <c r="I999" s="12"/>
      <c r="K999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66</v>
      </c>
      <c r="C1" s="30" t="s">
        <v>67</v>
      </c>
      <c r="E1" s="31"/>
      <c r="F1" s="31" t="s">
        <v>70</v>
      </c>
      <c r="G1" s="31" t="s">
        <v>71</v>
      </c>
      <c r="H1" s="25"/>
      <c r="I1" s="31"/>
      <c r="J1" s="31" t="s">
        <v>70</v>
      </c>
      <c r="K1" s="31" t="s">
        <v>71</v>
      </c>
    </row>
    <row r="2">
      <c r="A2" s="6" t="s">
        <v>9</v>
      </c>
      <c r="B2" s="25">
        <v>0.007552607388636279</v>
      </c>
      <c r="C2" s="25">
        <v>-0.08321191516917603</v>
      </c>
      <c r="E2" s="32" t="s">
        <v>72</v>
      </c>
      <c r="F2" s="32">
        <f t="shared" ref="F2:G2" si="1">MAX(B2:B53)</f>
        <v>0.1805526785</v>
      </c>
      <c r="G2" s="32">
        <f t="shared" si="1"/>
        <v>0.2049054676</v>
      </c>
      <c r="H2" s="25"/>
      <c r="I2" s="32" t="s">
        <v>73</v>
      </c>
      <c r="J2" s="32">
        <f t="shared" ref="J2:K2" si="2">AVERAGE(B2:B53)</f>
        <v>0.01024962393</v>
      </c>
      <c r="K2" s="32">
        <f t="shared" si="2"/>
        <v>-0.004228529556</v>
      </c>
    </row>
    <row r="3">
      <c r="A3" s="6" t="s">
        <v>10</v>
      </c>
      <c r="B3" s="25">
        <v>-0.022606964207663505</v>
      </c>
      <c r="C3" s="25">
        <v>-0.0492535016161304</v>
      </c>
      <c r="E3" s="32" t="s">
        <v>74</v>
      </c>
      <c r="F3" s="32">
        <f t="shared" ref="F3:G3" si="3">MIN(B2:B53)</f>
        <v>-0.1481267679</v>
      </c>
      <c r="G3" s="32">
        <f t="shared" si="3"/>
        <v>-0.1299418171</v>
      </c>
      <c r="H3" s="25"/>
      <c r="I3" s="32" t="s">
        <v>75</v>
      </c>
      <c r="J3" s="32">
        <f t="shared" ref="J3:K3" si="4">_xlfn.VAR.S(B2:B53)</f>
        <v>0.003892418964</v>
      </c>
      <c r="K3" s="32">
        <f t="shared" si="4"/>
        <v>0.003063877726</v>
      </c>
    </row>
    <row r="4">
      <c r="A4" s="6" t="s">
        <v>11</v>
      </c>
      <c r="B4" s="25">
        <v>-0.013463012648524342</v>
      </c>
      <c r="C4" s="25">
        <v>0.03603890926487008</v>
      </c>
      <c r="E4" s="32" t="s">
        <v>76</v>
      </c>
      <c r="F4" s="32">
        <f t="shared" ref="F4:G4" si="5">F2-F3</f>
        <v>0.3286794463</v>
      </c>
      <c r="G4" s="32">
        <f t="shared" si="5"/>
        <v>0.3348472846</v>
      </c>
      <c r="H4" s="25"/>
      <c r="I4" s="32" t="s">
        <v>77</v>
      </c>
      <c r="J4" s="32">
        <f t="shared" ref="J4:K4" si="6">_xlfn.STDEV.S(B2:B53)</f>
        <v>0.0623892536</v>
      </c>
      <c r="K4" s="32">
        <f t="shared" si="6"/>
        <v>0.05535230551</v>
      </c>
    </row>
    <row r="5">
      <c r="A5" s="6" t="s">
        <v>12</v>
      </c>
      <c r="B5" s="25">
        <v>0.015397338911726788</v>
      </c>
      <c r="C5" s="25">
        <v>-0.012440944881889737</v>
      </c>
      <c r="E5" s="32" t="s">
        <v>78</v>
      </c>
      <c r="F5" s="32">
        <f t="shared" ref="F5:G5" si="7">_xlfn.PERCENTILE.INC(B2:B53, 0.75)</f>
        <v>0.05099152785</v>
      </c>
      <c r="G5" s="32">
        <f t="shared" si="7"/>
        <v>0.0336470137</v>
      </c>
      <c r="H5" s="25"/>
      <c r="I5" s="32" t="s">
        <v>79</v>
      </c>
      <c r="J5" s="32">
        <v>6.9E-4</v>
      </c>
      <c r="K5" s="32">
        <f>0.00069</f>
        <v>0.00069</v>
      </c>
    </row>
    <row r="6">
      <c r="A6" s="6" t="s">
        <v>13</v>
      </c>
      <c r="B6" s="25">
        <v>-0.04484096559094819</v>
      </c>
      <c r="C6" s="25">
        <v>0.03420195439739415</v>
      </c>
      <c r="E6" s="32" t="s">
        <v>80</v>
      </c>
      <c r="F6" s="32">
        <f t="shared" ref="F6:G6" si="8">_xlfn.PERCENTILE.INC(B2:B53, 0.25)</f>
        <v>-0.03099964595</v>
      </c>
      <c r="G6" s="32">
        <f t="shared" si="8"/>
        <v>-0.04898491537</v>
      </c>
      <c r="H6" s="25"/>
      <c r="I6" s="32" t="s">
        <v>81</v>
      </c>
      <c r="J6" s="32">
        <f t="shared" ref="J6:K6" si="9">(J2-J5)/J4</f>
        <v>0.1532254896</v>
      </c>
      <c r="K6" s="32">
        <f t="shared" si="9"/>
        <v>-0.08885862135</v>
      </c>
    </row>
    <row r="7">
      <c r="A7" s="6" t="s">
        <v>14</v>
      </c>
      <c r="B7" s="25">
        <v>-0.0415311985035407</v>
      </c>
      <c r="C7" s="25">
        <v>-0.04968271165454263</v>
      </c>
      <c r="E7" s="32" t="s">
        <v>82</v>
      </c>
      <c r="F7" s="32">
        <f t="shared" ref="F7:G7" si="10">F5-F6</f>
        <v>0.0819911738</v>
      </c>
      <c r="G7" s="32">
        <f t="shared" si="10"/>
        <v>0.08263192906</v>
      </c>
      <c r="H7" s="25"/>
      <c r="I7" s="32" t="s">
        <v>83</v>
      </c>
      <c r="J7" s="32">
        <f t="shared" ref="J7:K7" si="11">J4/J2</f>
        <v>6.086979781</v>
      </c>
      <c r="K7" s="32">
        <f t="shared" si="11"/>
        <v>-13.09020187</v>
      </c>
    </row>
    <row r="8">
      <c r="A8" s="6" t="s">
        <v>15</v>
      </c>
      <c r="B8" s="25">
        <v>0.02642285714285708</v>
      </c>
      <c r="C8" s="25">
        <v>0.010162601626016343</v>
      </c>
      <c r="E8" s="32" t="s">
        <v>84</v>
      </c>
      <c r="F8" s="32">
        <f t="shared" ref="F8:G8" si="12">1.5*F7</f>
        <v>0.1229867607</v>
      </c>
      <c r="G8" s="32">
        <f t="shared" si="12"/>
        <v>0.1239478936</v>
      </c>
      <c r="H8" s="25"/>
      <c r="I8" s="25"/>
      <c r="J8" s="25"/>
      <c r="K8" s="25"/>
    </row>
    <row r="9">
      <c r="A9" s="6" t="s">
        <v>16</v>
      </c>
      <c r="B9" s="25">
        <v>-0.01687602525785936</v>
      </c>
      <c r="C9" s="25">
        <v>-0.0233623453962436</v>
      </c>
      <c r="E9" s="32" t="s">
        <v>85</v>
      </c>
      <c r="F9" s="32">
        <f t="shared" ref="F9:G9" si="13">F8+F5</f>
        <v>0.1739782885</v>
      </c>
      <c r="G9" s="32">
        <f t="shared" si="13"/>
        <v>0.1575949073</v>
      </c>
      <c r="H9" s="25"/>
      <c r="I9" s="25"/>
      <c r="J9" s="25"/>
      <c r="K9" s="25"/>
    </row>
    <row r="10">
      <c r="A10" s="6" t="s">
        <v>17</v>
      </c>
      <c r="B10" s="25">
        <v>0.01584221699728361</v>
      </c>
      <c r="C10" s="25">
        <v>0.041839007317849175</v>
      </c>
      <c r="E10" s="32" t="s">
        <v>86</v>
      </c>
      <c r="F10" s="32">
        <f t="shared" ref="F10:G10" si="14">F6-F8</f>
        <v>-0.1539864066</v>
      </c>
      <c r="G10" s="32">
        <f t="shared" si="14"/>
        <v>-0.172932809</v>
      </c>
      <c r="H10" s="25"/>
      <c r="I10" s="25"/>
      <c r="J10" s="25"/>
      <c r="K10" s="25"/>
    </row>
    <row r="11">
      <c r="A11" s="6" t="s">
        <v>18</v>
      </c>
      <c r="B11" s="25">
        <v>-0.0781161219722637</v>
      </c>
      <c r="C11" s="25">
        <v>0.038493309102924034</v>
      </c>
      <c r="E11" s="25"/>
      <c r="F11" s="25"/>
      <c r="G11" s="25"/>
      <c r="H11" s="25"/>
      <c r="I11" s="25"/>
      <c r="J11" s="25"/>
      <c r="K11" s="25"/>
    </row>
    <row r="12">
      <c r="A12" s="6" t="s">
        <v>19</v>
      </c>
      <c r="B12" s="25">
        <v>-0.012489609310058158</v>
      </c>
      <c r="C12" s="25">
        <v>0.0378943758573389</v>
      </c>
      <c r="E12" s="32" t="s">
        <v>87</v>
      </c>
      <c r="F12" s="32">
        <f t="shared" ref="F12:G12" si="15">(F3-J2)/J4</f>
        <v>-2.538520381</v>
      </c>
      <c r="G12" s="32">
        <f t="shared" si="15"/>
        <v>-2.271148173</v>
      </c>
      <c r="H12" s="25"/>
      <c r="I12" s="25"/>
      <c r="J12" s="25"/>
      <c r="K12" s="25"/>
    </row>
    <row r="13">
      <c r="A13" s="6" t="s">
        <v>20</v>
      </c>
      <c r="B13" s="25">
        <v>0.04845738190692006</v>
      </c>
      <c r="C13" s="25">
        <v>-0.1299418170968223</v>
      </c>
      <c r="E13" s="32" t="s">
        <v>88</v>
      </c>
      <c r="F13" s="32">
        <f t="shared" ref="F13:G13" si="16">(F2-J2)/J4</f>
        <v>2.729685719</v>
      </c>
      <c r="G13" s="32">
        <f t="shared" si="16"/>
        <v>3.778234622</v>
      </c>
      <c r="H13" s="25"/>
      <c r="I13" s="25"/>
      <c r="J13" s="25"/>
      <c r="K13" s="25"/>
    </row>
    <row r="14">
      <c r="A14" s="6" t="s">
        <v>21</v>
      </c>
      <c r="B14" s="25">
        <v>0.008703296703296726</v>
      </c>
      <c r="C14" s="25">
        <v>0.03107214274726955</v>
      </c>
    </row>
    <row r="15">
      <c r="A15" s="6" t="s">
        <v>22</v>
      </c>
      <c r="B15" s="25">
        <v>0.0577213659715925</v>
      </c>
      <c r="C15" s="25">
        <v>0.018965517241379404</v>
      </c>
    </row>
    <row r="16">
      <c r="A16" s="6" t="s">
        <v>23</v>
      </c>
      <c r="B16" s="25">
        <v>0.09992584827021922</v>
      </c>
      <c r="C16" s="25">
        <v>0.02919825778351348</v>
      </c>
    </row>
    <row r="17">
      <c r="A17" s="6" t="s">
        <v>24</v>
      </c>
      <c r="B17" s="25">
        <v>-0.032793372078644856</v>
      </c>
      <c r="C17" s="25">
        <v>-0.02131354594253243</v>
      </c>
    </row>
    <row r="18">
      <c r="A18" s="6" t="s">
        <v>25</v>
      </c>
      <c r="B18" s="25">
        <v>-0.058600298007077556</v>
      </c>
      <c r="C18" s="25">
        <v>0.050414593698175914</v>
      </c>
    </row>
    <row r="19">
      <c r="A19" s="6" t="s">
        <v>26</v>
      </c>
      <c r="B19" s="25">
        <v>-0.059225512528473856</v>
      </c>
      <c r="C19" s="25">
        <v>-0.05426599749058969</v>
      </c>
    </row>
    <row r="20">
      <c r="A20" s="6" t="s">
        <v>27</v>
      </c>
      <c r="B20" s="25">
        <v>0.052660702757539424</v>
      </c>
      <c r="C20" s="25">
        <v>-0.06537672236880676</v>
      </c>
    </row>
    <row r="21">
      <c r="A21" s="6" t="s">
        <v>28</v>
      </c>
      <c r="B21" s="25">
        <v>-0.012724499783751786</v>
      </c>
      <c r="C21" s="25">
        <v>0.025864661654135368</v>
      </c>
    </row>
    <row r="22">
      <c r="A22" s="6" t="s">
        <v>29</v>
      </c>
      <c r="B22" s="25">
        <v>0.06244407361725801</v>
      </c>
      <c r="C22" s="25">
        <v>0.032929481205343336</v>
      </c>
    </row>
    <row r="23">
      <c r="A23" s="6" t="s">
        <v>30</v>
      </c>
      <c r="B23" s="25">
        <v>-0.0380150291975897</v>
      </c>
      <c r="C23" s="25">
        <v>-0.09323943661971834</v>
      </c>
    </row>
    <row r="24">
      <c r="A24" s="6" t="s">
        <v>31</v>
      </c>
      <c r="B24" s="25">
        <v>-0.024000908265213394</v>
      </c>
      <c r="C24" s="25">
        <v>0.037708272434960444</v>
      </c>
    </row>
    <row r="25">
      <c r="A25" s="6" t="s">
        <v>32</v>
      </c>
      <c r="B25" s="25">
        <v>0.03363297110803387</v>
      </c>
      <c r="C25" s="25">
        <v>-0.022292083452414957</v>
      </c>
    </row>
    <row r="26">
      <c r="A26" s="6" t="s">
        <v>33</v>
      </c>
      <c r="B26" s="25">
        <v>0.07609738849320613</v>
      </c>
      <c r="C26" s="25">
        <v>-0.02886483485983904</v>
      </c>
    </row>
    <row r="27">
      <c r="A27" s="6" t="s">
        <v>34</v>
      </c>
      <c r="B27" s="25">
        <v>0.12854862615437246</v>
      </c>
      <c r="C27" s="25">
        <v>-0.007164508128961078</v>
      </c>
    </row>
    <row r="28">
      <c r="A28" s="6" t="s">
        <v>35</v>
      </c>
      <c r="B28" s="25">
        <v>0.050828166651690765</v>
      </c>
      <c r="C28" s="25">
        <v>-0.044748618057383616</v>
      </c>
    </row>
    <row r="29">
      <c r="A29" s="6" t="s">
        <v>36</v>
      </c>
      <c r="B29" s="25">
        <v>-0.01805829240316459</v>
      </c>
      <c r="C29" s="25">
        <v>-0.012862154086007438</v>
      </c>
    </row>
    <row r="30">
      <c r="A30" s="6" t="s">
        <v>37</v>
      </c>
      <c r="B30" s="25">
        <v>0.028587850919651547</v>
      </c>
      <c r="C30" s="25">
        <v>0.01839110875893102</v>
      </c>
    </row>
    <row r="31">
      <c r="A31" s="6" t="s">
        <v>38</v>
      </c>
      <c r="B31" s="25">
        <v>0.0027605035643865072</v>
      </c>
      <c r="C31" s="25">
        <v>0.037474262182567</v>
      </c>
    </row>
    <row r="32">
      <c r="A32" s="6" t="s">
        <v>39</v>
      </c>
      <c r="B32" s="25">
        <v>0.08928394409014295</v>
      </c>
      <c r="C32" s="25">
        <v>-0.005867903930131146</v>
      </c>
    </row>
    <row r="33">
      <c r="A33" s="6" t="s">
        <v>40</v>
      </c>
      <c r="B33" s="25">
        <v>-0.04249193191166234</v>
      </c>
      <c r="C33" s="25">
        <v>-0.021628838451268395</v>
      </c>
    </row>
    <row r="34">
      <c r="A34" s="6" t="s">
        <v>41</v>
      </c>
      <c r="B34" s="25">
        <v>-0.04122554224177155</v>
      </c>
      <c r="C34" s="25">
        <v>0.052409723197976765</v>
      </c>
    </row>
    <row r="35">
      <c r="A35" s="6" t="s">
        <v>42</v>
      </c>
      <c r="B35" s="25">
        <v>0.05148161143185215</v>
      </c>
      <c r="C35" s="25">
        <v>-0.0021031968592258865</v>
      </c>
    </row>
    <row r="36">
      <c r="A36" s="6" t="s">
        <v>43</v>
      </c>
      <c r="B36" s="25">
        <v>-0.005834786744886689</v>
      </c>
      <c r="C36" s="25">
        <v>-0.049320181284990716</v>
      </c>
    </row>
    <row r="37">
      <c r="A37" s="6" t="s">
        <v>44</v>
      </c>
      <c r="B37" s="25">
        <v>-0.02558477273429527</v>
      </c>
      <c r="C37" s="25">
        <v>0.060503251342945985</v>
      </c>
    </row>
    <row r="38">
      <c r="A38" s="6" t="s">
        <v>45</v>
      </c>
      <c r="B38" s="25">
        <v>0.00456295008691332</v>
      </c>
      <c r="C38" s="25">
        <v>0.20490546755237604</v>
      </c>
    </row>
    <row r="39">
      <c r="A39" s="6" t="s">
        <v>46</v>
      </c>
      <c r="B39" s="25">
        <v>-0.009683071531769616</v>
      </c>
      <c r="C39" s="25">
        <v>-0.01228129205921935</v>
      </c>
    </row>
    <row r="40">
      <c r="A40" s="6" t="s">
        <v>47</v>
      </c>
      <c r="B40" s="25">
        <v>0.10222267398522744</v>
      </c>
      <c r="C40" s="25">
        <v>-0.029709435194253953</v>
      </c>
    </row>
    <row r="41">
      <c r="A41" s="6" t="s">
        <v>48</v>
      </c>
      <c r="B41" s="25">
        <v>-0.148126767880852</v>
      </c>
      <c r="C41" s="25">
        <v>0.036372864151581696</v>
      </c>
    </row>
    <row r="42">
      <c r="A42" s="6" t="s">
        <v>49</v>
      </c>
      <c r="B42" s="25">
        <v>0.02098190605292638</v>
      </c>
      <c r="C42" s="25">
        <v>0.009564474807856493</v>
      </c>
    </row>
    <row r="43">
      <c r="A43" s="6" t="s">
        <v>50</v>
      </c>
      <c r="B43" s="25">
        <v>-0.030401737242128246</v>
      </c>
      <c r="C43" s="25">
        <v>-0.048895386614684955</v>
      </c>
    </row>
    <row r="44">
      <c r="A44" s="6" t="s">
        <v>51</v>
      </c>
      <c r="B44" s="25">
        <v>0.17340575336954345</v>
      </c>
      <c r="C44" s="25">
        <v>0.08246878846492</v>
      </c>
    </row>
    <row r="45">
      <c r="A45" s="6" t="s">
        <v>52</v>
      </c>
      <c r="B45" s="25">
        <v>0.03847359075241119</v>
      </c>
      <c r="C45" s="25">
        <v>-0.005073477956612948</v>
      </c>
    </row>
    <row r="46">
      <c r="A46" s="6" t="s">
        <v>53</v>
      </c>
      <c r="B46" s="25">
        <v>0.00793121600280755</v>
      </c>
      <c r="C46" s="25">
        <v>0.01690090731186622</v>
      </c>
    </row>
    <row r="47">
      <c r="A47" s="6" t="s">
        <v>54</v>
      </c>
      <c r="B47" s="25">
        <v>0.18055267846045475</v>
      </c>
      <c r="C47" s="25">
        <v>0.03346203346203347</v>
      </c>
    </row>
    <row r="48">
      <c r="A48" s="6" t="s">
        <v>55</v>
      </c>
      <c r="B48" s="25">
        <v>-0.04335935951805314</v>
      </c>
      <c r="C48" s="25">
        <v>0.02506596306068598</v>
      </c>
    </row>
    <row r="49">
      <c r="A49" s="6" t="s">
        <v>56</v>
      </c>
      <c r="B49" s="25">
        <v>0.053794428434197794</v>
      </c>
      <c r="C49" s="25">
        <v>-0.04995523724261408</v>
      </c>
    </row>
    <row r="50">
      <c r="A50" s="6" t="s">
        <v>57</v>
      </c>
      <c r="B50" s="25">
        <v>-0.09151963574274335</v>
      </c>
      <c r="C50" s="25">
        <v>-0.09540006478781993</v>
      </c>
    </row>
    <row r="51">
      <c r="A51" s="6" t="s">
        <v>58</v>
      </c>
      <c r="B51" s="25">
        <v>0.05966788629327335</v>
      </c>
      <c r="C51" s="25">
        <v>-0.0684972842486421</v>
      </c>
    </row>
    <row r="52">
      <c r="A52" s="6" t="s">
        <v>59</v>
      </c>
      <c r="B52" s="25">
        <v>-0.005080406432514506</v>
      </c>
      <c r="C52" s="25">
        <v>-0.05192390215991982</v>
      </c>
    </row>
    <row r="53">
      <c r="A53" s="6" t="s">
        <v>60</v>
      </c>
      <c r="B53" s="25">
        <v>-0.04831156965013139</v>
      </c>
      <c r="C53" s="25">
        <v>-0.08350812794965923</v>
      </c>
    </row>
    <row r="54">
      <c r="A54" s="6" t="s">
        <v>61</v>
      </c>
      <c r="B54" s="25" t="e">
        <v>#DIV/0!</v>
      </c>
      <c r="C54" s="25" t="e">
        <v>#DIV/0!</v>
      </c>
    </row>
    <row r="55">
      <c r="B55" s="33"/>
      <c r="C55" s="25"/>
    </row>
    <row r="56">
      <c r="B56" s="34"/>
      <c r="C56" s="25"/>
    </row>
    <row r="57">
      <c r="B57" s="34"/>
      <c r="C57" s="25"/>
    </row>
    <row r="58">
      <c r="B58" s="34"/>
      <c r="C58" s="25"/>
    </row>
    <row r="59">
      <c r="B59" s="34"/>
      <c r="C59" s="25"/>
    </row>
    <row r="60">
      <c r="B60" s="34"/>
      <c r="C60" s="25"/>
    </row>
    <row r="61">
      <c r="B61" s="34"/>
      <c r="C61" s="25"/>
    </row>
    <row r="62">
      <c r="B62" s="34"/>
      <c r="C62" s="25"/>
    </row>
    <row r="63">
      <c r="B63" s="34"/>
      <c r="C63" s="25"/>
    </row>
    <row r="64">
      <c r="B64" s="34"/>
      <c r="C64" s="25"/>
    </row>
    <row r="65">
      <c r="B65" s="34"/>
      <c r="C65" s="25"/>
    </row>
    <row r="66">
      <c r="B66" s="34"/>
      <c r="C66" s="25"/>
    </row>
    <row r="67">
      <c r="B67" s="34"/>
      <c r="C67" s="25"/>
    </row>
    <row r="68">
      <c r="B68" s="34"/>
      <c r="C68" s="25"/>
    </row>
    <row r="69">
      <c r="B69" s="34"/>
      <c r="C69" s="25"/>
    </row>
    <row r="70">
      <c r="B70" s="34"/>
      <c r="C70" s="25"/>
    </row>
    <row r="71">
      <c r="B71" s="34"/>
      <c r="C71" s="25"/>
    </row>
    <row r="72">
      <c r="B72" s="34"/>
      <c r="C72" s="25"/>
    </row>
    <row r="73">
      <c r="B73" s="34"/>
      <c r="C73" s="25"/>
    </row>
    <row r="74">
      <c r="B74" s="34"/>
      <c r="C74" s="25"/>
    </row>
    <row r="75">
      <c r="B75" s="34"/>
      <c r="C75" s="25"/>
    </row>
    <row r="76">
      <c r="B76" s="34"/>
      <c r="C76" s="25"/>
    </row>
    <row r="77">
      <c r="B77" s="34"/>
      <c r="C77" s="25"/>
    </row>
    <row r="78">
      <c r="B78" s="34"/>
      <c r="C78" s="25"/>
    </row>
    <row r="79">
      <c r="B79" s="34"/>
      <c r="C79" s="25"/>
    </row>
    <row r="80">
      <c r="B80" s="34"/>
      <c r="C80" s="25"/>
    </row>
    <row r="81">
      <c r="B81" s="34"/>
      <c r="C81" s="25"/>
    </row>
    <row r="82">
      <c r="B82" s="34"/>
      <c r="C82" s="25"/>
    </row>
    <row r="83">
      <c r="B83" s="34"/>
      <c r="C83" s="25"/>
    </row>
    <row r="84">
      <c r="B84" s="34"/>
      <c r="C84" s="25"/>
    </row>
    <row r="85">
      <c r="B85" s="34"/>
      <c r="C85" s="25"/>
    </row>
    <row r="86">
      <c r="B86" s="34"/>
      <c r="C86" s="25"/>
    </row>
    <row r="87">
      <c r="B87" s="34"/>
      <c r="C87" s="25"/>
    </row>
    <row r="88">
      <c r="B88" s="34"/>
      <c r="C88" s="25"/>
    </row>
    <row r="89">
      <c r="B89" s="34"/>
      <c r="C89" s="25"/>
    </row>
    <row r="90">
      <c r="B90" s="34"/>
      <c r="C90" s="25"/>
    </row>
    <row r="91">
      <c r="B91" s="34"/>
      <c r="C91" s="25"/>
    </row>
    <row r="92">
      <c r="B92" s="34"/>
      <c r="C92" s="25"/>
    </row>
    <row r="93">
      <c r="B93" s="34"/>
      <c r="C93" s="25"/>
    </row>
    <row r="94">
      <c r="B94" s="34"/>
      <c r="C94" s="25"/>
    </row>
    <row r="95">
      <c r="B95" s="34"/>
      <c r="C95" s="25"/>
    </row>
    <row r="96">
      <c r="B96" s="34"/>
      <c r="C96" s="25"/>
    </row>
    <row r="97">
      <c r="B97" s="34"/>
      <c r="C97" s="25"/>
    </row>
    <row r="98">
      <c r="B98" s="34"/>
      <c r="C98" s="25"/>
    </row>
    <row r="99">
      <c r="B99" s="34"/>
      <c r="C99" s="25"/>
    </row>
    <row r="100">
      <c r="B100" s="34"/>
      <c r="C100" s="25"/>
    </row>
    <row r="101">
      <c r="B101" s="34"/>
      <c r="C101" s="25"/>
    </row>
    <row r="102">
      <c r="B102" s="34"/>
      <c r="C102" s="25"/>
    </row>
    <row r="103">
      <c r="B103" s="34"/>
      <c r="C103" s="25"/>
    </row>
    <row r="104">
      <c r="B104" s="34"/>
      <c r="C104" s="25"/>
    </row>
    <row r="105">
      <c r="B105" s="34"/>
      <c r="C105" s="25"/>
    </row>
    <row r="106">
      <c r="B106" s="34"/>
      <c r="C106" s="25"/>
    </row>
    <row r="107">
      <c r="B107" s="34"/>
      <c r="C107" s="25"/>
    </row>
    <row r="108">
      <c r="B108" s="34"/>
      <c r="C108" s="25"/>
    </row>
    <row r="109">
      <c r="B109" s="33"/>
      <c r="C109" s="25"/>
    </row>
    <row r="110">
      <c r="B110" s="34"/>
      <c r="C110" s="25"/>
    </row>
    <row r="111">
      <c r="B111" s="34"/>
      <c r="C111" s="25"/>
    </row>
    <row r="112">
      <c r="B112" s="34"/>
      <c r="C112" s="25"/>
    </row>
    <row r="113">
      <c r="B113" s="34"/>
      <c r="C113" s="25"/>
    </row>
    <row r="114">
      <c r="B114" s="34"/>
      <c r="C114" s="25"/>
    </row>
    <row r="115">
      <c r="B115" s="34"/>
      <c r="C115" s="25"/>
    </row>
    <row r="116">
      <c r="B116" s="34"/>
      <c r="C116" s="25"/>
    </row>
    <row r="117">
      <c r="B117" s="34"/>
      <c r="C117" s="25"/>
    </row>
    <row r="118">
      <c r="B118" s="34"/>
      <c r="C118" s="25"/>
    </row>
    <row r="119">
      <c r="B119" s="34"/>
      <c r="C119" s="25"/>
    </row>
    <row r="120">
      <c r="B120" s="34"/>
      <c r="C120" s="25"/>
    </row>
    <row r="121">
      <c r="B121" s="34"/>
      <c r="C121" s="25"/>
    </row>
    <row r="122">
      <c r="B122" s="34"/>
      <c r="C122" s="25"/>
    </row>
    <row r="123">
      <c r="B123" s="34"/>
      <c r="C123" s="25"/>
    </row>
    <row r="124">
      <c r="B124" s="34"/>
      <c r="C124" s="25"/>
    </row>
    <row r="125">
      <c r="B125" s="34"/>
      <c r="C125" s="25"/>
    </row>
    <row r="126">
      <c r="B126" s="34"/>
      <c r="C126" s="25"/>
    </row>
    <row r="127">
      <c r="B127" s="34"/>
      <c r="C127" s="25"/>
    </row>
    <row r="128">
      <c r="B128" s="34"/>
      <c r="C128" s="25"/>
    </row>
    <row r="129">
      <c r="B129" s="34"/>
      <c r="C129" s="25"/>
    </row>
    <row r="130">
      <c r="B130" s="34"/>
      <c r="C130" s="25"/>
    </row>
    <row r="131">
      <c r="B131" s="34"/>
      <c r="C131" s="25"/>
    </row>
    <row r="132">
      <c r="B132" s="34"/>
      <c r="C132" s="25"/>
    </row>
    <row r="133">
      <c r="B133" s="34"/>
      <c r="C133" s="25"/>
    </row>
    <row r="134">
      <c r="B134" s="34"/>
      <c r="C134" s="25"/>
    </row>
    <row r="135">
      <c r="B135" s="34"/>
      <c r="C135" s="25"/>
    </row>
    <row r="136">
      <c r="B136" s="34"/>
      <c r="C136" s="25"/>
    </row>
    <row r="137">
      <c r="B137" s="34"/>
      <c r="C137" s="25"/>
    </row>
    <row r="138">
      <c r="B138" s="34"/>
      <c r="C138" s="25"/>
    </row>
    <row r="139">
      <c r="B139" s="34"/>
      <c r="C139" s="25"/>
    </row>
    <row r="140">
      <c r="B140" s="34"/>
      <c r="C140" s="25"/>
    </row>
    <row r="141">
      <c r="B141" s="34"/>
      <c r="C141" s="25"/>
    </row>
    <row r="142">
      <c r="B142" s="34"/>
      <c r="C142" s="25"/>
    </row>
    <row r="143">
      <c r="B143" s="34"/>
      <c r="C143" s="25"/>
    </row>
    <row r="144">
      <c r="B144" s="34"/>
      <c r="C144" s="25"/>
    </row>
    <row r="145">
      <c r="B145" s="34"/>
      <c r="C145" s="25"/>
    </row>
    <row r="146">
      <c r="B146" s="34"/>
      <c r="C146" s="25"/>
    </row>
    <row r="147">
      <c r="B147" s="34"/>
      <c r="C147" s="25"/>
    </row>
    <row r="148">
      <c r="B148" s="34"/>
      <c r="C148" s="25"/>
    </row>
    <row r="149">
      <c r="B149" s="34"/>
      <c r="C149" s="25"/>
    </row>
    <row r="150">
      <c r="B150" s="34"/>
      <c r="C150" s="25"/>
    </row>
    <row r="151">
      <c r="B151" s="34"/>
      <c r="C151" s="25"/>
    </row>
    <row r="152">
      <c r="B152" s="34"/>
      <c r="C152" s="25"/>
    </row>
    <row r="153">
      <c r="B153" s="34"/>
      <c r="C153" s="25"/>
    </row>
    <row r="154">
      <c r="B154" s="34"/>
      <c r="C154" s="25"/>
    </row>
    <row r="155">
      <c r="B155" s="34"/>
      <c r="C155" s="25"/>
    </row>
    <row r="156">
      <c r="B156" s="34"/>
      <c r="C156" s="25"/>
    </row>
    <row r="157">
      <c r="B157" s="34"/>
      <c r="C157" s="25"/>
    </row>
    <row r="158">
      <c r="B158" s="34"/>
      <c r="C158" s="25"/>
    </row>
    <row r="159">
      <c r="B159" s="34"/>
      <c r="C159" s="25"/>
    </row>
    <row r="160">
      <c r="B160" s="34"/>
      <c r="C160" s="25"/>
    </row>
    <row r="161">
      <c r="B161" s="34"/>
      <c r="C161" s="25"/>
    </row>
    <row r="162">
      <c r="B162" s="34"/>
      <c r="C162" s="25"/>
    </row>
    <row r="163">
      <c r="B163" s="33"/>
      <c r="C163" s="25"/>
    </row>
    <row r="164">
      <c r="B164" s="34"/>
      <c r="C164" s="25"/>
    </row>
    <row r="165">
      <c r="B165" s="34"/>
      <c r="C165" s="25"/>
    </row>
    <row r="166">
      <c r="B166" s="34"/>
      <c r="C166" s="25"/>
    </row>
    <row r="167">
      <c r="B167" s="34"/>
      <c r="C167" s="25"/>
    </row>
    <row r="168">
      <c r="B168" s="34"/>
      <c r="C168" s="25"/>
    </row>
    <row r="169">
      <c r="B169" s="34"/>
      <c r="C169" s="25"/>
    </row>
    <row r="170">
      <c r="B170" s="34"/>
      <c r="C170" s="25"/>
    </row>
    <row r="171">
      <c r="B171" s="34"/>
      <c r="C171" s="25"/>
    </row>
    <row r="172">
      <c r="B172" s="34"/>
      <c r="C172" s="25"/>
    </row>
    <row r="173">
      <c r="B173" s="34"/>
      <c r="C173" s="25"/>
    </row>
    <row r="174">
      <c r="B174" s="34"/>
      <c r="C174" s="25"/>
    </row>
    <row r="175">
      <c r="B175" s="34"/>
      <c r="C175" s="25"/>
    </row>
    <row r="176">
      <c r="B176" s="34"/>
      <c r="C176" s="25"/>
    </row>
    <row r="177">
      <c r="B177" s="34"/>
      <c r="C177" s="25"/>
    </row>
    <row r="178">
      <c r="B178" s="34"/>
      <c r="C178" s="25"/>
    </row>
    <row r="179">
      <c r="B179" s="34"/>
      <c r="C179" s="25"/>
    </row>
    <row r="180">
      <c r="B180" s="34"/>
      <c r="C180" s="25"/>
    </row>
    <row r="181">
      <c r="B181" s="34"/>
      <c r="C181" s="25"/>
    </row>
    <row r="182">
      <c r="B182" s="34"/>
      <c r="C182" s="25"/>
    </row>
    <row r="183">
      <c r="B183" s="34"/>
      <c r="C183" s="25"/>
    </row>
    <row r="184">
      <c r="B184" s="34"/>
      <c r="C184" s="25"/>
    </row>
    <row r="185">
      <c r="B185" s="34"/>
      <c r="C185" s="25"/>
    </row>
    <row r="186">
      <c r="B186" s="34"/>
      <c r="C186" s="25"/>
    </row>
    <row r="187">
      <c r="B187" s="34"/>
      <c r="C187" s="25"/>
    </row>
    <row r="188">
      <c r="B188" s="34"/>
      <c r="C188" s="25"/>
    </row>
    <row r="189">
      <c r="B189" s="34"/>
      <c r="C189" s="25"/>
    </row>
    <row r="190">
      <c r="B190" s="34"/>
      <c r="C190" s="25"/>
    </row>
    <row r="191">
      <c r="B191" s="34"/>
      <c r="C191" s="25"/>
    </row>
    <row r="192">
      <c r="B192" s="34"/>
      <c r="C192" s="25"/>
    </row>
    <row r="193">
      <c r="B193" s="34"/>
      <c r="C193" s="25"/>
    </row>
    <row r="194">
      <c r="B194" s="34"/>
      <c r="C194" s="25"/>
    </row>
    <row r="195">
      <c r="B195" s="34"/>
      <c r="C195" s="25"/>
    </row>
    <row r="196">
      <c r="B196" s="34"/>
      <c r="C196" s="25"/>
    </row>
    <row r="197">
      <c r="B197" s="34"/>
      <c r="C197" s="25"/>
    </row>
    <row r="198">
      <c r="B198" s="34"/>
      <c r="C198" s="25"/>
    </row>
    <row r="199">
      <c r="B199" s="34"/>
      <c r="C199" s="25"/>
    </row>
    <row r="200">
      <c r="B200" s="34"/>
      <c r="C200" s="25"/>
    </row>
    <row r="201">
      <c r="B201" s="34"/>
      <c r="C201" s="25"/>
    </row>
    <row r="202">
      <c r="B202" s="34"/>
      <c r="C202" s="25"/>
    </row>
    <row r="203">
      <c r="B203" s="34"/>
      <c r="C203" s="25"/>
    </row>
    <row r="204">
      <c r="B204" s="34"/>
      <c r="C204" s="25"/>
    </row>
    <row r="205">
      <c r="B205" s="34"/>
      <c r="C205" s="25"/>
    </row>
    <row r="206">
      <c r="B206" s="34"/>
      <c r="C206" s="25"/>
    </row>
    <row r="207">
      <c r="B207" s="34"/>
      <c r="C207" s="25"/>
    </row>
    <row r="208">
      <c r="B208" s="34"/>
      <c r="C208" s="25"/>
    </row>
    <row r="209">
      <c r="B209" s="34"/>
      <c r="C209" s="25"/>
    </row>
    <row r="210">
      <c r="B210" s="34"/>
      <c r="C210" s="25"/>
    </row>
    <row r="211">
      <c r="B211" s="34"/>
      <c r="C211" s="25"/>
    </row>
    <row r="212">
      <c r="B212" s="34"/>
      <c r="C212" s="25"/>
    </row>
    <row r="213">
      <c r="B213" s="34"/>
      <c r="C213" s="25"/>
    </row>
    <row r="214">
      <c r="B214" s="34"/>
      <c r="C214" s="25"/>
    </row>
    <row r="215">
      <c r="B215" s="34"/>
      <c r="C215" s="25"/>
    </row>
    <row r="216">
      <c r="B216" s="34"/>
      <c r="C216" s="25"/>
    </row>
    <row r="217">
      <c r="B217" s="33"/>
      <c r="C217" s="25"/>
    </row>
    <row r="218">
      <c r="B218" s="34"/>
      <c r="C218" s="25"/>
    </row>
    <row r="219">
      <c r="B219" s="34"/>
      <c r="C219" s="25"/>
    </row>
    <row r="220">
      <c r="B220" s="34"/>
      <c r="C220" s="25"/>
    </row>
    <row r="221">
      <c r="B221" s="34"/>
      <c r="C221" s="25"/>
    </row>
    <row r="222">
      <c r="B222" s="34"/>
      <c r="C222" s="25"/>
    </row>
    <row r="223">
      <c r="B223" s="34"/>
      <c r="C223" s="25"/>
    </row>
    <row r="224">
      <c r="B224" s="34"/>
      <c r="C224" s="25"/>
    </row>
    <row r="225">
      <c r="B225" s="34"/>
      <c r="C225" s="25"/>
    </row>
    <row r="226">
      <c r="B226" s="34"/>
      <c r="C226" s="25"/>
    </row>
    <row r="227">
      <c r="B227" s="34"/>
      <c r="C227" s="25"/>
    </row>
    <row r="228">
      <c r="B228" s="34"/>
      <c r="C228" s="25"/>
    </row>
    <row r="229">
      <c r="B229" s="34"/>
      <c r="C229" s="25"/>
    </row>
    <row r="230">
      <c r="B230" s="34"/>
      <c r="C230" s="25"/>
    </row>
    <row r="231">
      <c r="B231" s="34"/>
      <c r="C231" s="25"/>
    </row>
    <row r="232">
      <c r="B232" s="34"/>
      <c r="C232" s="25"/>
    </row>
    <row r="233">
      <c r="B233" s="34"/>
      <c r="C233" s="25"/>
    </row>
    <row r="234">
      <c r="B234" s="34"/>
      <c r="C234" s="25"/>
    </row>
    <row r="235">
      <c r="B235" s="34"/>
      <c r="C235" s="25"/>
    </row>
    <row r="236">
      <c r="B236" s="34"/>
      <c r="C236" s="25"/>
    </row>
    <row r="237">
      <c r="B237" s="34"/>
      <c r="C237" s="25"/>
    </row>
    <row r="238">
      <c r="B238" s="34"/>
      <c r="C238" s="25"/>
    </row>
    <row r="239">
      <c r="B239" s="34"/>
      <c r="C239" s="25"/>
    </row>
    <row r="240">
      <c r="B240" s="34"/>
      <c r="C240" s="25"/>
    </row>
    <row r="241">
      <c r="B241" s="34"/>
      <c r="C241" s="25"/>
    </row>
    <row r="242">
      <c r="B242" s="34"/>
      <c r="C242" s="25"/>
    </row>
    <row r="243">
      <c r="B243" s="34"/>
      <c r="C243" s="25"/>
    </row>
    <row r="244">
      <c r="B244" s="34"/>
      <c r="C244" s="25"/>
    </row>
    <row r="245">
      <c r="B245" s="34"/>
      <c r="C245" s="25"/>
    </row>
    <row r="246">
      <c r="B246" s="34"/>
      <c r="C246" s="25"/>
    </row>
    <row r="247">
      <c r="B247" s="34"/>
      <c r="C247" s="25"/>
    </row>
    <row r="248">
      <c r="B248" s="34"/>
      <c r="C248" s="25"/>
    </row>
    <row r="249">
      <c r="B249" s="34"/>
      <c r="C249" s="25"/>
    </row>
    <row r="250">
      <c r="B250" s="34"/>
      <c r="C250" s="25"/>
    </row>
    <row r="251">
      <c r="B251" s="34"/>
      <c r="C251" s="25"/>
    </row>
    <row r="252">
      <c r="B252" s="34"/>
      <c r="C252" s="25"/>
    </row>
    <row r="253">
      <c r="B253" s="34"/>
      <c r="C253" s="25"/>
    </row>
    <row r="254">
      <c r="B254" s="34"/>
      <c r="C254" s="25"/>
    </row>
    <row r="255">
      <c r="B255" s="34"/>
      <c r="C255" s="25"/>
    </row>
    <row r="256">
      <c r="B256" s="34"/>
      <c r="C256" s="25"/>
    </row>
    <row r="257">
      <c r="B257" s="34"/>
      <c r="C257" s="25"/>
    </row>
    <row r="258">
      <c r="B258" s="34"/>
      <c r="C258" s="25"/>
    </row>
    <row r="259">
      <c r="B259" s="34"/>
      <c r="C259" s="25"/>
    </row>
    <row r="260">
      <c r="B260" s="34"/>
      <c r="C260" s="25"/>
    </row>
    <row r="261">
      <c r="B261" s="34"/>
      <c r="C261" s="25"/>
    </row>
    <row r="262">
      <c r="B262" s="34"/>
      <c r="C262" s="25"/>
    </row>
    <row r="263">
      <c r="B263" s="34"/>
      <c r="C263" s="25"/>
    </row>
    <row r="264">
      <c r="B264" s="34"/>
      <c r="C264" s="25"/>
    </row>
    <row r="265">
      <c r="B265" s="34"/>
      <c r="C265" s="25"/>
    </row>
    <row r="266">
      <c r="B266" s="34"/>
      <c r="C266" s="25"/>
    </row>
    <row r="267">
      <c r="B267" s="34"/>
      <c r="C267" s="25"/>
    </row>
    <row r="268">
      <c r="B268" s="34"/>
      <c r="C268" s="25"/>
    </row>
    <row r="269">
      <c r="B269" s="34"/>
      <c r="C269" s="25"/>
    </row>
    <row r="270">
      <c r="B270" s="34"/>
      <c r="C270" s="25"/>
    </row>
    <row r="271">
      <c r="B271" s="33"/>
      <c r="C271" s="25"/>
    </row>
    <row r="272">
      <c r="B272" s="34"/>
      <c r="C272" s="25"/>
    </row>
    <row r="273">
      <c r="B273" s="34"/>
      <c r="C273" s="25"/>
    </row>
    <row r="274">
      <c r="B274" s="34"/>
      <c r="C274" s="25"/>
    </row>
    <row r="275">
      <c r="B275" s="34"/>
      <c r="C275" s="25"/>
    </row>
    <row r="276">
      <c r="B276" s="34"/>
      <c r="C276" s="25"/>
    </row>
    <row r="277">
      <c r="B277" s="34"/>
      <c r="C277" s="25"/>
    </row>
    <row r="278">
      <c r="B278" s="34"/>
      <c r="C278" s="25"/>
    </row>
    <row r="279">
      <c r="B279" s="34"/>
      <c r="C279" s="25"/>
    </row>
    <row r="280">
      <c r="B280" s="34"/>
      <c r="C280" s="25"/>
    </row>
    <row r="281">
      <c r="B281" s="34"/>
      <c r="C281" s="25"/>
    </row>
    <row r="282">
      <c r="B282" s="34"/>
      <c r="C282" s="25"/>
    </row>
    <row r="283">
      <c r="B283" s="34"/>
      <c r="C283" s="25"/>
    </row>
    <row r="284">
      <c r="B284" s="34"/>
      <c r="C284" s="25"/>
    </row>
    <row r="285">
      <c r="B285" s="34"/>
      <c r="C285" s="25"/>
    </row>
    <row r="286">
      <c r="B286" s="34"/>
      <c r="C286" s="25"/>
    </row>
    <row r="287">
      <c r="B287" s="34"/>
      <c r="C287" s="25"/>
    </row>
    <row r="288">
      <c r="B288" s="34"/>
      <c r="C288" s="25"/>
    </row>
    <row r="289">
      <c r="B289" s="34"/>
      <c r="C289" s="25"/>
    </row>
    <row r="290">
      <c r="B290" s="34"/>
      <c r="C290" s="25"/>
    </row>
    <row r="291">
      <c r="B291" s="34"/>
      <c r="C291" s="25"/>
    </row>
    <row r="292">
      <c r="B292" s="34"/>
      <c r="C292" s="25"/>
    </row>
    <row r="293">
      <c r="B293" s="34"/>
      <c r="C293" s="25"/>
    </row>
    <row r="294">
      <c r="B294" s="34"/>
      <c r="C294" s="25"/>
    </row>
    <row r="295">
      <c r="B295" s="34"/>
      <c r="C295" s="25"/>
    </row>
    <row r="296">
      <c r="B296" s="34"/>
      <c r="C296" s="25"/>
    </row>
    <row r="297">
      <c r="B297" s="34"/>
      <c r="C297" s="25"/>
    </row>
    <row r="298">
      <c r="B298" s="34"/>
      <c r="C298" s="25"/>
    </row>
    <row r="299">
      <c r="B299" s="34"/>
      <c r="C299" s="25"/>
    </row>
    <row r="300">
      <c r="B300" s="34"/>
      <c r="C300" s="25"/>
    </row>
    <row r="301">
      <c r="B301" s="34"/>
      <c r="C301" s="25"/>
    </row>
    <row r="302">
      <c r="B302" s="34"/>
      <c r="C302" s="25"/>
    </row>
    <row r="303">
      <c r="B303" s="34"/>
      <c r="C303" s="25"/>
    </row>
    <row r="304">
      <c r="B304" s="34"/>
      <c r="C304" s="25"/>
    </row>
    <row r="305">
      <c r="B305" s="34"/>
      <c r="C305" s="25"/>
    </row>
    <row r="306">
      <c r="B306" s="34"/>
      <c r="C306" s="25"/>
    </row>
    <row r="307">
      <c r="B307" s="34"/>
      <c r="C307" s="25"/>
    </row>
    <row r="308">
      <c r="B308" s="34"/>
      <c r="C308" s="25"/>
    </row>
    <row r="309">
      <c r="B309" s="34"/>
      <c r="C309" s="25"/>
    </row>
    <row r="310">
      <c r="B310" s="34"/>
      <c r="C310" s="25"/>
    </row>
    <row r="311">
      <c r="B311" s="34"/>
      <c r="C311" s="25"/>
    </row>
    <row r="312">
      <c r="B312" s="34"/>
      <c r="C312" s="25"/>
    </row>
    <row r="313">
      <c r="B313" s="34"/>
      <c r="C313" s="25"/>
    </row>
    <row r="314">
      <c r="B314" s="34"/>
      <c r="C314" s="25"/>
    </row>
    <row r="315">
      <c r="B315" s="34"/>
      <c r="C315" s="25"/>
    </row>
    <row r="316">
      <c r="B316" s="34"/>
      <c r="C316" s="25"/>
    </row>
    <row r="317">
      <c r="B317" s="34"/>
      <c r="C317" s="25"/>
    </row>
    <row r="318">
      <c r="B318" s="34"/>
      <c r="C318" s="25"/>
    </row>
    <row r="319">
      <c r="B319" s="34"/>
      <c r="C319" s="25"/>
    </row>
    <row r="320">
      <c r="B320" s="34"/>
      <c r="C320" s="25"/>
    </row>
    <row r="321">
      <c r="B321" s="34"/>
      <c r="C321" s="25"/>
    </row>
    <row r="322">
      <c r="B322" s="34"/>
      <c r="C322" s="25"/>
    </row>
    <row r="323">
      <c r="B323" s="34"/>
      <c r="C323" s="25"/>
    </row>
    <row r="324">
      <c r="B324" s="34"/>
      <c r="C324" s="25"/>
    </row>
    <row r="325">
      <c r="B325" s="33"/>
      <c r="C325" s="25"/>
    </row>
    <row r="326">
      <c r="B326" s="34"/>
      <c r="C326" s="25"/>
    </row>
    <row r="327">
      <c r="B327" s="34"/>
      <c r="C327" s="25"/>
    </row>
    <row r="328">
      <c r="B328" s="34"/>
      <c r="C328" s="25"/>
    </row>
    <row r="329">
      <c r="B329" s="34"/>
      <c r="C329" s="25"/>
    </row>
    <row r="330">
      <c r="B330" s="34"/>
      <c r="C330" s="25"/>
    </row>
    <row r="331">
      <c r="B331" s="34"/>
      <c r="C331" s="25"/>
    </row>
    <row r="332">
      <c r="B332" s="34"/>
      <c r="C332" s="25"/>
    </row>
    <row r="333">
      <c r="B333" s="34"/>
      <c r="C333" s="25"/>
    </row>
    <row r="334">
      <c r="B334" s="34"/>
      <c r="C334" s="25"/>
    </row>
    <row r="335">
      <c r="B335" s="34"/>
      <c r="C335" s="25"/>
    </row>
    <row r="336">
      <c r="B336" s="34"/>
      <c r="C336" s="25"/>
    </row>
    <row r="337">
      <c r="B337" s="34"/>
      <c r="C337" s="25"/>
    </row>
    <row r="338">
      <c r="B338" s="34"/>
      <c r="C338" s="25"/>
    </row>
    <row r="339">
      <c r="B339" s="34"/>
      <c r="C339" s="25"/>
    </row>
    <row r="340">
      <c r="B340" s="34"/>
      <c r="C340" s="25"/>
    </row>
    <row r="341">
      <c r="B341" s="34"/>
      <c r="C341" s="25"/>
    </row>
    <row r="342">
      <c r="B342" s="34"/>
      <c r="C342" s="25"/>
    </row>
    <row r="343">
      <c r="B343" s="34"/>
      <c r="C343" s="25"/>
    </row>
    <row r="344">
      <c r="B344" s="34"/>
      <c r="C344" s="25"/>
    </row>
    <row r="345">
      <c r="B345" s="34"/>
      <c r="C345" s="25"/>
    </row>
    <row r="346">
      <c r="B346" s="34"/>
      <c r="C346" s="25"/>
    </row>
    <row r="347">
      <c r="B347" s="34"/>
      <c r="C347" s="25"/>
    </row>
    <row r="348">
      <c r="B348" s="34"/>
      <c r="C348" s="25"/>
    </row>
    <row r="349">
      <c r="B349" s="34"/>
      <c r="C349" s="25"/>
    </row>
    <row r="350">
      <c r="B350" s="34"/>
      <c r="C350" s="25"/>
    </row>
    <row r="351">
      <c r="B351" s="34"/>
      <c r="C351" s="25"/>
    </row>
    <row r="352">
      <c r="B352" s="34"/>
      <c r="C352" s="25"/>
    </row>
    <row r="353">
      <c r="B353" s="34"/>
      <c r="C353" s="25"/>
    </row>
    <row r="354">
      <c r="B354" s="34"/>
      <c r="C354" s="25"/>
    </row>
    <row r="355">
      <c r="B355" s="34"/>
      <c r="C355" s="25"/>
    </row>
    <row r="356">
      <c r="B356" s="34"/>
      <c r="C356" s="25"/>
    </row>
    <row r="357">
      <c r="B357" s="34"/>
      <c r="C357" s="25"/>
    </row>
    <row r="358">
      <c r="B358" s="34"/>
      <c r="C358" s="25"/>
    </row>
    <row r="359">
      <c r="B359" s="34"/>
      <c r="C359" s="25"/>
    </row>
    <row r="360">
      <c r="B360" s="34"/>
      <c r="C360" s="25"/>
    </row>
    <row r="361">
      <c r="B361" s="34"/>
      <c r="C361" s="25"/>
    </row>
    <row r="362">
      <c r="B362" s="34"/>
      <c r="C362" s="25"/>
    </row>
    <row r="363">
      <c r="B363" s="34"/>
      <c r="C363" s="25"/>
    </row>
    <row r="364">
      <c r="B364" s="34"/>
      <c r="C364" s="25"/>
    </row>
    <row r="365">
      <c r="B365" s="34"/>
      <c r="C365" s="25"/>
    </row>
    <row r="366">
      <c r="B366" s="34"/>
      <c r="C366" s="25"/>
    </row>
    <row r="367">
      <c r="B367" s="34"/>
      <c r="C367" s="25"/>
    </row>
    <row r="368">
      <c r="B368" s="34"/>
      <c r="C368" s="25"/>
    </row>
    <row r="369">
      <c r="B369" s="34"/>
      <c r="C369" s="25"/>
    </row>
    <row r="370">
      <c r="B370" s="34"/>
      <c r="C370" s="25"/>
    </row>
    <row r="371">
      <c r="B371" s="34"/>
      <c r="C371" s="25"/>
    </row>
    <row r="372">
      <c r="B372" s="34"/>
      <c r="C372" s="25"/>
    </row>
    <row r="373">
      <c r="B373" s="34"/>
      <c r="C373" s="25"/>
    </row>
    <row r="374">
      <c r="B374" s="34"/>
      <c r="C374" s="25"/>
    </row>
    <row r="375">
      <c r="B375" s="34"/>
      <c r="C375" s="25"/>
    </row>
    <row r="376">
      <c r="B376" s="34"/>
      <c r="C376" s="25"/>
    </row>
    <row r="377">
      <c r="B377" s="34"/>
      <c r="C377" s="25"/>
    </row>
    <row r="378">
      <c r="B378" s="34"/>
      <c r="C378" s="25"/>
    </row>
    <row r="379">
      <c r="B379" s="33"/>
      <c r="C379" s="25"/>
    </row>
    <row r="380">
      <c r="B380" s="34"/>
      <c r="C380" s="25"/>
    </row>
    <row r="381">
      <c r="B381" s="34"/>
      <c r="C381" s="25"/>
    </row>
    <row r="382">
      <c r="B382" s="34"/>
      <c r="C382" s="25"/>
    </row>
    <row r="383">
      <c r="B383" s="34"/>
      <c r="C383" s="25"/>
    </row>
    <row r="384">
      <c r="B384" s="34"/>
      <c r="C384" s="25"/>
    </row>
    <row r="385">
      <c r="B385" s="34"/>
      <c r="C385" s="25"/>
    </row>
    <row r="386">
      <c r="B386" s="34"/>
      <c r="C386" s="25"/>
    </row>
    <row r="387">
      <c r="B387" s="34"/>
      <c r="C387" s="25"/>
    </row>
    <row r="388">
      <c r="B388" s="34"/>
      <c r="C388" s="25"/>
    </row>
    <row r="389">
      <c r="B389" s="34"/>
      <c r="C389" s="25"/>
    </row>
    <row r="390">
      <c r="B390" s="34"/>
      <c r="C390" s="25"/>
    </row>
    <row r="391">
      <c r="B391" s="34"/>
      <c r="C391" s="25"/>
    </row>
    <row r="392">
      <c r="B392" s="34"/>
      <c r="C392" s="25"/>
    </row>
    <row r="393">
      <c r="B393" s="34"/>
      <c r="C393" s="25"/>
    </row>
    <row r="394">
      <c r="B394" s="34"/>
      <c r="C394" s="25"/>
    </row>
    <row r="395">
      <c r="B395" s="34"/>
      <c r="C395" s="25"/>
    </row>
    <row r="396">
      <c r="B396" s="34"/>
      <c r="C396" s="25"/>
    </row>
    <row r="397">
      <c r="B397" s="34"/>
      <c r="C397" s="25"/>
    </row>
    <row r="398">
      <c r="B398" s="34"/>
      <c r="C398" s="25"/>
    </row>
    <row r="399">
      <c r="B399" s="34"/>
      <c r="C399" s="25"/>
    </row>
    <row r="400">
      <c r="B400" s="34"/>
      <c r="C400" s="25"/>
    </row>
    <row r="401">
      <c r="B401" s="34"/>
      <c r="C401" s="25"/>
    </row>
    <row r="402">
      <c r="B402" s="34"/>
      <c r="C402" s="25"/>
    </row>
    <row r="403">
      <c r="B403" s="34"/>
      <c r="C403" s="25"/>
    </row>
    <row r="404">
      <c r="B404" s="34"/>
      <c r="C404" s="25"/>
    </row>
    <row r="405">
      <c r="B405" s="34"/>
      <c r="C405" s="25"/>
    </row>
    <row r="406">
      <c r="B406" s="34"/>
      <c r="C406" s="25"/>
    </row>
    <row r="407">
      <c r="B407" s="34"/>
      <c r="C407" s="25"/>
    </row>
    <row r="408">
      <c r="B408" s="34"/>
      <c r="C408" s="25"/>
    </row>
    <row r="409">
      <c r="B409" s="34"/>
      <c r="C409" s="25"/>
    </row>
    <row r="410">
      <c r="B410" s="34"/>
      <c r="C410" s="25"/>
    </row>
    <row r="411">
      <c r="B411" s="34"/>
      <c r="C411" s="25"/>
    </row>
    <row r="412">
      <c r="B412" s="34"/>
      <c r="C412" s="25"/>
    </row>
    <row r="413">
      <c r="B413" s="34"/>
      <c r="C413" s="25"/>
    </row>
    <row r="414">
      <c r="B414" s="34"/>
      <c r="C414" s="25"/>
    </row>
    <row r="415">
      <c r="B415" s="34"/>
      <c r="C415" s="25"/>
    </row>
    <row r="416">
      <c r="B416" s="34"/>
      <c r="C416" s="25"/>
    </row>
    <row r="417">
      <c r="B417" s="34"/>
      <c r="C417" s="25"/>
    </row>
    <row r="418">
      <c r="B418" s="34"/>
      <c r="C418" s="25"/>
    </row>
    <row r="419">
      <c r="B419" s="34"/>
      <c r="C419" s="25"/>
    </row>
    <row r="420">
      <c r="B420" s="34"/>
      <c r="C420" s="25"/>
    </row>
    <row r="421">
      <c r="B421" s="34"/>
      <c r="C421" s="25"/>
    </row>
    <row r="422">
      <c r="B422" s="34"/>
      <c r="C422" s="25"/>
    </row>
    <row r="423">
      <c r="B423" s="34"/>
      <c r="C423" s="25"/>
    </row>
    <row r="424">
      <c r="B424" s="34"/>
      <c r="C424" s="25"/>
    </row>
    <row r="425">
      <c r="B425" s="34"/>
      <c r="C425" s="25"/>
    </row>
    <row r="426">
      <c r="B426" s="34"/>
      <c r="C426" s="25"/>
    </row>
    <row r="427">
      <c r="B427" s="34"/>
      <c r="C427" s="25"/>
    </row>
    <row r="428">
      <c r="B428" s="34"/>
      <c r="C428" s="25"/>
    </row>
    <row r="429">
      <c r="B429" s="34"/>
      <c r="C429" s="25"/>
    </row>
    <row r="430">
      <c r="B430" s="34"/>
      <c r="C430" s="25"/>
    </row>
    <row r="431">
      <c r="B431" s="34"/>
      <c r="C431" s="25"/>
    </row>
    <row r="432">
      <c r="B432" s="34"/>
      <c r="C432" s="25"/>
    </row>
    <row r="433">
      <c r="B433" s="33"/>
      <c r="C433" s="25"/>
    </row>
    <row r="434">
      <c r="B434" s="34"/>
      <c r="C434" s="25"/>
    </row>
    <row r="435">
      <c r="B435" s="34"/>
      <c r="C435" s="25"/>
    </row>
    <row r="436">
      <c r="B436" s="34"/>
      <c r="C436" s="25"/>
    </row>
    <row r="437">
      <c r="B437" s="34"/>
      <c r="C437" s="25"/>
    </row>
    <row r="438">
      <c r="B438" s="34"/>
      <c r="C438" s="25"/>
    </row>
    <row r="439">
      <c r="B439" s="34"/>
      <c r="C439" s="25"/>
    </row>
    <row r="440">
      <c r="B440" s="34"/>
      <c r="C440" s="25"/>
    </row>
    <row r="441">
      <c r="B441" s="34"/>
      <c r="C441" s="25"/>
    </row>
    <row r="442">
      <c r="B442" s="34"/>
      <c r="C442" s="25"/>
    </row>
    <row r="443">
      <c r="B443" s="34"/>
      <c r="C443" s="25"/>
    </row>
    <row r="444">
      <c r="B444" s="34"/>
      <c r="C444" s="25"/>
    </row>
    <row r="445">
      <c r="B445" s="34"/>
      <c r="C445" s="25"/>
    </row>
    <row r="446">
      <c r="B446" s="34"/>
      <c r="C446" s="25"/>
    </row>
    <row r="447">
      <c r="B447" s="34"/>
      <c r="C447" s="25"/>
    </row>
    <row r="448">
      <c r="B448" s="34"/>
      <c r="C448" s="25"/>
    </row>
    <row r="449">
      <c r="B449" s="34"/>
      <c r="C449" s="25"/>
    </row>
    <row r="450">
      <c r="B450" s="34"/>
      <c r="C450" s="25"/>
    </row>
    <row r="451">
      <c r="B451" s="34"/>
      <c r="C451" s="25"/>
    </row>
    <row r="452">
      <c r="B452" s="34"/>
      <c r="C452" s="25"/>
    </row>
    <row r="453">
      <c r="B453" s="34"/>
      <c r="C453" s="25"/>
    </row>
    <row r="454">
      <c r="B454" s="34"/>
      <c r="C454" s="25"/>
    </row>
    <row r="455">
      <c r="B455" s="34"/>
      <c r="C455" s="25"/>
    </row>
    <row r="456">
      <c r="B456" s="34"/>
      <c r="C456" s="25"/>
    </row>
    <row r="457">
      <c r="B457" s="34"/>
      <c r="C457" s="25"/>
    </row>
    <row r="458">
      <c r="B458" s="34"/>
      <c r="C458" s="25"/>
    </row>
    <row r="459">
      <c r="B459" s="34"/>
      <c r="C459" s="25"/>
    </row>
    <row r="460">
      <c r="B460" s="34"/>
      <c r="C460" s="25"/>
    </row>
    <row r="461">
      <c r="B461" s="34"/>
      <c r="C461" s="25"/>
    </row>
    <row r="462">
      <c r="B462" s="34"/>
      <c r="C462" s="25"/>
    </row>
    <row r="463">
      <c r="B463" s="34"/>
      <c r="C463" s="25"/>
    </row>
    <row r="464">
      <c r="B464" s="34"/>
      <c r="C464" s="25"/>
    </row>
    <row r="465">
      <c r="B465" s="34"/>
      <c r="C465" s="25"/>
    </row>
    <row r="466">
      <c r="B466" s="34"/>
      <c r="C466" s="25"/>
    </row>
    <row r="467">
      <c r="B467" s="34"/>
      <c r="C467" s="25"/>
    </row>
    <row r="468">
      <c r="B468" s="34"/>
      <c r="C468" s="25"/>
    </row>
    <row r="469">
      <c r="B469" s="34"/>
      <c r="C469" s="25"/>
    </row>
    <row r="470">
      <c r="B470" s="34"/>
      <c r="C470" s="25"/>
    </row>
    <row r="471">
      <c r="B471" s="34"/>
      <c r="C471" s="25"/>
    </row>
    <row r="472">
      <c r="B472" s="34"/>
      <c r="C472" s="25"/>
    </row>
    <row r="473">
      <c r="B473" s="34"/>
      <c r="C473" s="25"/>
    </row>
    <row r="474">
      <c r="B474" s="34"/>
      <c r="C474" s="25"/>
    </row>
    <row r="475">
      <c r="B475" s="34"/>
      <c r="C475" s="25"/>
    </row>
    <row r="476">
      <c r="B476" s="34"/>
      <c r="C476" s="25"/>
    </row>
    <row r="477">
      <c r="B477" s="34"/>
      <c r="C477" s="25"/>
    </row>
    <row r="478">
      <c r="B478" s="34"/>
      <c r="C478" s="25"/>
    </row>
    <row r="479">
      <c r="B479" s="34"/>
      <c r="C479" s="25"/>
    </row>
    <row r="480">
      <c r="B480" s="34"/>
      <c r="C480" s="25"/>
    </row>
    <row r="481">
      <c r="B481" s="34"/>
      <c r="C481" s="25"/>
    </row>
    <row r="482">
      <c r="B482" s="34"/>
      <c r="C482" s="25"/>
    </row>
    <row r="483">
      <c r="B483" s="34"/>
      <c r="C483" s="25"/>
    </row>
    <row r="484">
      <c r="B484" s="34"/>
      <c r="C484" s="25"/>
    </row>
    <row r="485">
      <c r="B485" s="34"/>
      <c r="C485" s="25"/>
    </row>
    <row r="486">
      <c r="B486" s="34"/>
      <c r="C486" s="25"/>
    </row>
    <row r="487">
      <c r="B487" s="33"/>
      <c r="C487" s="25"/>
    </row>
    <row r="488">
      <c r="B488" s="34"/>
      <c r="C488" s="25"/>
    </row>
    <row r="489">
      <c r="B489" s="34"/>
      <c r="C489" s="25"/>
    </row>
    <row r="490">
      <c r="B490" s="34"/>
      <c r="C490" s="25"/>
    </row>
    <row r="491">
      <c r="B491" s="34"/>
      <c r="C491" s="25"/>
    </row>
    <row r="492">
      <c r="B492" s="34"/>
      <c r="C492" s="25"/>
    </row>
    <row r="493">
      <c r="B493" s="34"/>
      <c r="C493" s="25"/>
    </row>
    <row r="494">
      <c r="B494" s="34"/>
      <c r="C494" s="25"/>
    </row>
    <row r="495">
      <c r="B495" s="34"/>
      <c r="C495" s="25"/>
    </row>
    <row r="496">
      <c r="B496" s="34"/>
      <c r="C496" s="25"/>
    </row>
    <row r="497">
      <c r="B497" s="34"/>
      <c r="C497" s="25"/>
    </row>
    <row r="498">
      <c r="B498" s="34"/>
      <c r="C498" s="25"/>
    </row>
    <row r="499">
      <c r="B499" s="34"/>
      <c r="C499" s="25"/>
    </row>
    <row r="500">
      <c r="B500" s="34"/>
      <c r="C500" s="25"/>
    </row>
    <row r="501">
      <c r="B501" s="34"/>
      <c r="C501" s="25"/>
    </row>
    <row r="502">
      <c r="B502" s="34"/>
      <c r="C502" s="25"/>
    </row>
    <row r="503">
      <c r="B503" s="34"/>
      <c r="C503" s="25"/>
    </row>
    <row r="504">
      <c r="B504" s="34"/>
      <c r="C504" s="25"/>
    </row>
    <row r="505">
      <c r="B505" s="34"/>
      <c r="C505" s="25"/>
    </row>
    <row r="506">
      <c r="B506" s="34"/>
      <c r="C506" s="25"/>
    </row>
    <row r="507">
      <c r="B507" s="34"/>
      <c r="C507" s="25"/>
    </row>
    <row r="508">
      <c r="B508" s="34"/>
      <c r="C508" s="25"/>
    </row>
    <row r="509">
      <c r="B509" s="34"/>
      <c r="C509" s="25"/>
    </row>
    <row r="510">
      <c r="B510" s="34"/>
      <c r="C510" s="25"/>
    </row>
    <row r="511">
      <c r="B511" s="34"/>
      <c r="C511" s="25"/>
    </row>
    <row r="512">
      <c r="B512" s="34"/>
      <c r="C512" s="25"/>
    </row>
    <row r="513">
      <c r="B513" s="34"/>
      <c r="C513" s="25"/>
    </row>
    <row r="514">
      <c r="B514" s="34"/>
      <c r="C514" s="25"/>
    </row>
    <row r="515">
      <c r="B515" s="34"/>
      <c r="C515" s="25"/>
    </row>
    <row r="516">
      <c r="B516" s="34"/>
      <c r="C516" s="25"/>
    </row>
    <row r="517">
      <c r="B517" s="34"/>
      <c r="C517" s="25"/>
    </row>
    <row r="518">
      <c r="B518" s="34"/>
      <c r="C518" s="25"/>
    </row>
    <row r="519">
      <c r="B519" s="34"/>
      <c r="C519" s="25"/>
    </row>
    <row r="520">
      <c r="B520" s="34"/>
      <c r="C520" s="25"/>
    </row>
    <row r="521">
      <c r="B521" s="34"/>
      <c r="C521" s="25"/>
    </row>
    <row r="522">
      <c r="B522" s="34"/>
      <c r="C522" s="25"/>
    </row>
    <row r="523">
      <c r="B523" s="34"/>
      <c r="C523" s="25"/>
    </row>
    <row r="524">
      <c r="B524" s="34"/>
      <c r="C524" s="25"/>
    </row>
    <row r="525">
      <c r="B525" s="34"/>
      <c r="C525" s="25"/>
    </row>
    <row r="526">
      <c r="B526" s="34"/>
      <c r="C526" s="25"/>
    </row>
    <row r="527">
      <c r="B527" s="34"/>
      <c r="C527" s="25"/>
    </row>
    <row r="528">
      <c r="B528" s="34"/>
      <c r="C528" s="25"/>
    </row>
    <row r="529">
      <c r="B529" s="34"/>
      <c r="C529" s="25"/>
    </row>
    <row r="530">
      <c r="B530" s="34"/>
      <c r="C530" s="25"/>
    </row>
    <row r="531">
      <c r="B531" s="34"/>
      <c r="C531" s="25"/>
    </row>
    <row r="532">
      <c r="B532" s="34"/>
      <c r="C532" s="25"/>
    </row>
    <row r="533">
      <c r="B533" s="34"/>
      <c r="C533" s="25"/>
    </row>
    <row r="534">
      <c r="B534" s="34"/>
      <c r="C534" s="25"/>
    </row>
    <row r="535">
      <c r="B535" s="34"/>
      <c r="C535" s="25"/>
    </row>
    <row r="536">
      <c r="B536" s="34"/>
      <c r="C536" s="25"/>
    </row>
    <row r="537">
      <c r="B537" s="34"/>
      <c r="C537" s="25"/>
    </row>
    <row r="538">
      <c r="B538" s="34"/>
      <c r="C538" s="25"/>
    </row>
    <row r="539">
      <c r="B539" s="34"/>
      <c r="C539" s="25"/>
    </row>
    <row r="540">
      <c r="B540" s="34"/>
      <c r="C540" s="25"/>
    </row>
    <row r="541">
      <c r="B541" s="33"/>
      <c r="C541" s="25"/>
    </row>
    <row r="542">
      <c r="B542" s="34"/>
      <c r="C542" s="25"/>
    </row>
    <row r="543">
      <c r="B543" s="34"/>
      <c r="C543" s="25"/>
    </row>
    <row r="544">
      <c r="B544" s="34"/>
      <c r="C544" s="25"/>
    </row>
    <row r="545">
      <c r="B545" s="34"/>
      <c r="C545" s="25"/>
    </row>
    <row r="546">
      <c r="B546" s="34"/>
      <c r="C546" s="25"/>
    </row>
    <row r="547">
      <c r="B547" s="34"/>
      <c r="C547" s="25"/>
    </row>
    <row r="548">
      <c r="B548" s="34"/>
      <c r="C548" s="25"/>
    </row>
    <row r="549">
      <c r="B549" s="34"/>
      <c r="C549" s="25"/>
    </row>
    <row r="550">
      <c r="B550" s="34"/>
      <c r="C550" s="25"/>
    </row>
    <row r="551">
      <c r="B551" s="34"/>
      <c r="C551" s="25"/>
    </row>
    <row r="552">
      <c r="B552" s="34"/>
      <c r="C552" s="25"/>
    </row>
    <row r="553">
      <c r="B553" s="34"/>
      <c r="C553" s="25"/>
    </row>
    <row r="554">
      <c r="B554" s="34"/>
      <c r="C554" s="25"/>
    </row>
    <row r="555">
      <c r="B555" s="34"/>
      <c r="C555" s="25"/>
    </row>
    <row r="556">
      <c r="B556" s="34"/>
      <c r="C556" s="25"/>
    </row>
    <row r="557">
      <c r="B557" s="34"/>
      <c r="C557" s="25"/>
    </row>
    <row r="558">
      <c r="B558" s="34"/>
      <c r="C558" s="25"/>
    </row>
    <row r="559">
      <c r="B559" s="34"/>
      <c r="C559" s="25"/>
    </row>
    <row r="560">
      <c r="B560" s="34"/>
      <c r="C560" s="25"/>
    </row>
    <row r="561">
      <c r="B561" s="34"/>
      <c r="C561" s="25"/>
    </row>
    <row r="562">
      <c r="B562" s="34"/>
      <c r="C562" s="25"/>
    </row>
    <row r="563">
      <c r="B563" s="34"/>
      <c r="C563" s="25"/>
    </row>
    <row r="564">
      <c r="B564" s="34"/>
      <c r="C564" s="25"/>
    </row>
    <row r="565">
      <c r="B565" s="34"/>
      <c r="C565" s="25"/>
    </row>
    <row r="566">
      <c r="B566" s="34"/>
      <c r="C566" s="25"/>
    </row>
    <row r="567">
      <c r="B567" s="34"/>
      <c r="C567" s="25"/>
    </row>
    <row r="568">
      <c r="B568" s="34"/>
      <c r="C568" s="25"/>
    </row>
    <row r="569">
      <c r="B569" s="34"/>
      <c r="C569" s="25"/>
    </row>
    <row r="570">
      <c r="B570" s="34"/>
      <c r="C570" s="25"/>
    </row>
    <row r="571">
      <c r="B571" s="34"/>
      <c r="C571" s="25"/>
    </row>
    <row r="572">
      <c r="B572" s="34"/>
      <c r="C572" s="25"/>
    </row>
    <row r="573">
      <c r="B573" s="34"/>
      <c r="C573" s="25"/>
    </row>
    <row r="574">
      <c r="B574" s="34"/>
      <c r="C574" s="25"/>
    </row>
    <row r="575">
      <c r="B575" s="34"/>
      <c r="C575" s="25"/>
    </row>
    <row r="576">
      <c r="B576" s="34"/>
      <c r="C576" s="25"/>
    </row>
    <row r="577">
      <c r="B577" s="34"/>
      <c r="C577" s="25"/>
    </row>
    <row r="578">
      <c r="B578" s="34"/>
      <c r="C578" s="25"/>
    </row>
    <row r="579">
      <c r="B579" s="34"/>
      <c r="C579" s="25"/>
    </row>
    <row r="580">
      <c r="B580" s="34"/>
      <c r="C580" s="25"/>
    </row>
    <row r="581">
      <c r="B581" s="34"/>
      <c r="C581" s="25"/>
    </row>
    <row r="582">
      <c r="B582" s="34"/>
      <c r="C582" s="25"/>
    </row>
    <row r="583">
      <c r="B583" s="34"/>
      <c r="C583" s="25"/>
    </row>
    <row r="584">
      <c r="B584" s="34"/>
      <c r="C584" s="25"/>
    </row>
    <row r="585">
      <c r="B585" s="34"/>
      <c r="C585" s="25"/>
    </row>
    <row r="586">
      <c r="B586" s="34"/>
      <c r="C586" s="25"/>
    </row>
    <row r="587">
      <c r="B587" s="34"/>
      <c r="C587" s="25"/>
    </row>
    <row r="588">
      <c r="B588" s="34"/>
      <c r="C588" s="25"/>
    </row>
    <row r="589">
      <c r="B589" s="34"/>
      <c r="C589" s="25"/>
    </row>
    <row r="590">
      <c r="B590" s="34"/>
      <c r="C590" s="25"/>
    </row>
    <row r="591">
      <c r="B591" s="34"/>
      <c r="C591" s="25"/>
    </row>
    <row r="592">
      <c r="B592" s="34"/>
      <c r="C592" s="25"/>
    </row>
    <row r="593">
      <c r="B593" s="34"/>
      <c r="C593" s="25"/>
    </row>
    <row r="594">
      <c r="B594" s="34"/>
      <c r="C594" s="25"/>
    </row>
    <row r="595">
      <c r="B595" s="33"/>
      <c r="C595" s="25"/>
    </row>
    <row r="596">
      <c r="B596" s="34"/>
      <c r="C596" s="25"/>
    </row>
    <row r="597">
      <c r="B597" s="34"/>
      <c r="C597" s="25"/>
    </row>
    <row r="598">
      <c r="B598" s="34"/>
      <c r="C598" s="25"/>
    </row>
    <row r="599">
      <c r="B599" s="34"/>
      <c r="C599" s="25"/>
    </row>
    <row r="600">
      <c r="B600" s="34"/>
      <c r="C600" s="25"/>
    </row>
    <row r="601">
      <c r="B601" s="34"/>
      <c r="C601" s="25"/>
    </row>
    <row r="602">
      <c r="B602" s="34"/>
      <c r="C602" s="25"/>
    </row>
    <row r="603">
      <c r="B603" s="34"/>
      <c r="C603" s="25"/>
    </row>
    <row r="604">
      <c r="B604" s="34"/>
      <c r="C604" s="25"/>
    </row>
    <row r="605">
      <c r="B605" s="34"/>
      <c r="C605" s="25"/>
    </row>
    <row r="606">
      <c r="B606" s="34"/>
      <c r="C606" s="25"/>
    </row>
    <row r="607">
      <c r="B607" s="34"/>
      <c r="C607" s="25"/>
    </row>
    <row r="608">
      <c r="B608" s="34"/>
      <c r="C608" s="25"/>
    </row>
    <row r="609">
      <c r="B609" s="34"/>
      <c r="C609" s="25"/>
    </row>
    <row r="610">
      <c r="B610" s="34"/>
      <c r="C610" s="25"/>
    </row>
    <row r="611">
      <c r="B611" s="34"/>
      <c r="C611" s="25"/>
    </row>
    <row r="612">
      <c r="B612" s="34"/>
      <c r="C612" s="25"/>
    </row>
    <row r="613">
      <c r="B613" s="34"/>
      <c r="C613" s="25"/>
    </row>
    <row r="614">
      <c r="B614" s="34"/>
      <c r="C614" s="25"/>
    </row>
    <row r="615">
      <c r="B615" s="34"/>
      <c r="C615" s="25"/>
    </row>
    <row r="616">
      <c r="B616" s="34"/>
      <c r="C616" s="25"/>
    </row>
    <row r="617">
      <c r="B617" s="34"/>
      <c r="C617" s="25"/>
    </row>
    <row r="618">
      <c r="B618" s="34"/>
      <c r="C618" s="25"/>
    </row>
    <row r="619">
      <c r="B619" s="34"/>
      <c r="C619" s="25"/>
    </row>
    <row r="620">
      <c r="B620" s="34"/>
      <c r="C620" s="25"/>
    </row>
    <row r="621">
      <c r="B621" s="34"/>
      <c r="C621" s="25"/>
    </row>
    <row r="622">
      <c r="B622" s="34"/>
      <c r="C622" s="25"/>
    </row>
    <row r="623">
      <c r="B623" s="34"/>
      <c r="C623" s="25"/>
    </row>
    <row r="624">
      <c r="B624" s="34"/>
      <c r="C624" s="25"/>
    </row>
    <row r="625">
      <c r="B625" s="34"/>
      <c r="C625" s="25"/>
    </row>
    <row r="626">
      <c r="B626" s="34"/>
      <c r="C626" s="25"/>
    </row>
    <row r="627">
      <c r="B627" s="34"/>
      <c r="C627" s="25"/>
    </row>
    <row r="628">
      <c r="B628" s="34"/>
      <c r="C628" s="25"/>
    </row>
    <row r="629">
      <c r="B629" s="34"/>
      <c r="C629" s="25"/>
    </row>
    <row r="630">
      <c r="B630" s="34"/>
      <c r="C630" s="25"/>
    </row>
    <row r="631">
      <c r="B631" s="34"/>
      <c r="C631" s="25"/>
    </row>
    <row r="632">
      <c r="B632" s="34"/>
      <c r="C632" s="25"/>
    </row>
    <row r="633">
      <c r="B633" s="34"/>
      <c r="C633" s="25"/>
    </row>
    <row r="634">
      <c r="B634" s="34"/>
      <c r="C634" s="25"/>
    </row>
    <row r="635">
      <c r="B635" s="34"/>
      <c r="C635" s="25"/>
    </row>
    <row r="636">
      <c r="B636" s="34"/>
      <c r="C636" s="25"/>
    </row>
    <row r="637">
      <c r="B637" s="34"/>
      <c r="C637" s="25"/>
    </row>
    <row r="638">
      <c r="B638" s="34"/>
      <c r="C638" s="25"/>
    </row>
    <row r="639">
      <c r="B639" s="34"/>
      <c r="C639" s="25"/>
    </row>
    <row r="640">
      <c r="B640" s="34"/>
      <c r="C640" s="25"/>
    </row>
    <row r="641">
      <c r="B641" s="34"/>
      <c r="C641" s="25"/>
    </row>
    <row r="642">
      <c r="B642" s="34"/>
      <c r="C642" s="25"/>
    </row>
    <row r="643">
      <c r="B643" s="34"/>
      <c r="C643" s="25"/>
    </row>
    <row r="644">
      <c r="B644" s="34"/>
      <c r="C644" s="25"/>
    </row>
    <row r="645">
      <c r="B645" s="34"/>
      <c r="C645" s="25"/>
    </row>
    <row r="646">
      <c r="B646" s="34"/>
      <c r="C646" s="25"/>
    </row>
    <row r="647">
      <c r="B647" s="34"/>
      <c r="C647" s="25"/>
    </row>
    <row r="648">
      <c r="B648" s="34"/>
      <c r="C648" s="25"/>
    </row>
    <row r="649">
      <c r="B649" s="33"/>
      <c r="C649" s="25"/>
    </row>
    <row r="650">
      <c r="B650" s="34"/>
      <c r="C650" s="25"/>
    </row>
    <row r="651">
      <c r="B651" s="34"/>
      <c r="C651" s="25"/>
    </row>
    <row r="652">
      <c r="B652" s="34"/>
      <c r="C652" s="25"/>
    </row>
    <row r="653">
      <c r="B653" s="34"/>
      <c r="C653" s="25"/>
    </row>
    <row r="654">
      <c r="B654" s="34"/>
      <c r="C654" s="25"/>
    </row>
    <row r="655">
      <c r="B655" s="34"/>
      <c r="C655" s="25"/>
    </row>
    <row r="656">
      <c r="B656" s="34"/>
      <c r="C656" s="25"/>
    </row>
    <row r="657">
      <c r="B657" s="34"/>
      <c r="C657" s="25"/>
    </row>
    <row r="658">
      <c r="B658" s="34"/>
      <c r="C658" s="25"/>
    </row>
    <row r="659">
      <c r="B659" s="34"/>
      <c r="C659" s="25"/>
    </row>
    <row r="660">
      <c r="B660" s="34"/>
      <c r="C660" s="25"/>
    </row>
    <row r="661">
      <c r="B661" s="34"/>
      <c r="C661" s="25"/>
    </row>
    <row r="662">
      <c r="B662" s="34"/>
      <c r="C662" s="25"/>
    </row>
    <row r="663">
      <c r="B663" s="34"/>
      <c r="C663" s="25"/>
    </row>
    <row r="664">
      <c r="B664" s="34"/>
      <c r="C664" s="25"/>
    </row>
    <row r="665">
      <c r="B665" s="34"/>
      <c r="C665" s="25"/>
    </row>
    <row r="666">
      <c r="B666" s="34"/>
      <c r="C666" s="25"/>
    </row>
    <row r="667">
      <c r="B667" s="34"/>
      <c r="C667" s="25"/>
    </row>
    <row r="668">
      <c r="B668" s="34"/>
      <c r="C668" s="25"/>
    </row>
    <row r="669">
      <c r="B669" s="34"/>
      <c r="C669" s="25"/>
    </row>
    <row r="670">
      <c r="B670" s="34"/>
      <c r="C670" s="25"/>
    </row>
    <row r="671">
      <c r="B671" s="34"/>
      <c r="C671" s="25"/>
    </row>
    <row r="672">
      <c r="B672" s="34"/>
      <c r="C672" s="25"/>
    </row>
    <row r="673">
      <c r="B673" s="34"/>
      <c r="C673" s="25"/>
    </row>
    <row r="674">
      <c r="B674" s="34"/>
      <c r="C674" s="25"/>
    </row>
    <row r="675">
      <c r="B675" s="34"/>
      <c r="C675" s="25"/>
    </row>
    <row r="676">
      <c r="B676" s="34"/>
      <c r="C676" s="25"/>
    </row>
    <row r="677">
      <c r="B677" s="34"/>
      <c r="C677" s="25"/>
    </row>
    <row r="678">
      <c r="B678" s="34"/>
      <c r="C678" s="25"/>
    </row>
    <row r="679">
      <c r="B679" s="34"/>
      <c r="C679" s="25"/>
    </row>
    <row r="680">
      <c r="B680" s="34"/>
      <c r="C680" s="25"/>
    </row>
    <row r="681">
      <c r="B681" s="34"/>
      <c r="C681" s="25"/>
    </row>
    <row r="682">
      <c r="B682" s="34"/>
      <c r="C682" s="25"/>
    </row>
    <row r="683">
      <c r="B683" s="34"/>
      <c r="C683" s="25"/>
    </row>
    <row r="684">
      <c r="B684" s="34"/>
      <c r="C684" s="25"/>
    </row>
    <row r="685">
      <c r="B685" s="34"/>
      <c r="C685" s="25"/>
    </row>
    <row r="686">
      <c r="B686" s="34"/>
      <c r="C686" s="25"/>
    </row>
    <row r="687">
      <c r="B687" s="34"/>
      <c r="C687" s="25"/>
    </row>
    <row r="688">
      <c r="B688" s="34"/>
      <c r="C688" s="25"/>
    </row>
    <row r="689">
      <c r="B689" s="34"/>
      <c r="C689" s="25"/>
    </row>
    <row r="690">
      <c r="B690" s="34"/>
      <c r="C690" s="25"/>
    </row>
    <row r="691">
      <c r="B691" s="34"/>
      <c r="C691" s="25"/>
    </row>
    <row r="692">
      <c r="B692" s="34"/>
      <c r="C692" s="25"/>
    </row>
    <row r="693">
      <c r="B693" s="34"/>
      <c r="C693" s="25"/>
    </row>
    <row r="694">
      <c r="B694" s="34"/>
      <c r="C694" s="25"/>
    </row>
    <row r="695">
      <c r="B695" s="34"/>
      <c r="C695" s="25"/>
    </row>
    <row r="696">
      <c r="B696" s="34"/>
      <c r="C696" s="25"/>
    </row>
    <row r="697">
      <c r="B697" s="34"/>
      <c r="C697" s="25"/>
    </row>
    <row r="698">
      <c r="B698" s="34"/>
      <c r="C698" s="25"/>
    </row>
    <row r="699">
      <c r="B699" s="34"/>
      <c r="C699" s="25"/>
    </row>
    <row r="700">
      <c r="B700" s="34"/>
      <c r="C700" s="25"/>
    </row>
    <row r="701">
      <c r="B701" s="34"/>
      <c r="C701" s="25"/>
    </row>
    <row r="702">
      <c r="B702" s="34"/>
      <c r="C702" s="25"/>
    </row>
    <row r="703">
      <c r="B703" s="33"/>
      <c r="C703" s="25"/>
    </row>
    <row r="704">
      <c r="B704" s="34"/>
      <c r="C704" s="25"/>
    </row>
    <row r="705">
      <c r="B705" s="34"/>
      <c r="C705" s="25"/>
    </row>
    <row r="706">
      <c r="B706" s="34"/>
      <c r="C706" s="25"/>
    </row>
    <row r="707">
      <c r="B707" s="34"/>
      <c r="C707" s="25"/>
    </row>
    <row r="708">
      <c r="B708" s="34"/>
      <c r="C708" s="25"/>
    </row>
    <row r="709">
      <c r="B709" s="34"/>
      <c r="C709" s="25"/>
    </row>
    <row r="710">
      <c r="B710" s="34"/>
      <c r="C710" s="25"/>
    </row>
    <row r="711">
      <c r="B711" s="34"/>
      <c r="C711" s="25"/>
    </row>
    <row r="712">
      <c r="B712" s="34"/>
      <c r="C712" s="25"/>
    </row>
    <row r="713">
      <c r="B713" s="34"/>
      <c r="C713" s="25"/>
    </row>
    <row r="714">
      <c r="B714" s="34"/>
      <c r="C714" s="25"/>
    </row>
    <row r="715">
      <c r="B715" s="34"/>
      <c r="C715" s="25"/>
    </row>
    <row r="716">
      <c r="B716" s="34"/>
      <c r="C716" s="25"/>
    </row>
    <row r="717">
      <c r="B717" s="34"/>
      <c r="C717" s="25"/>
    </row>
    <row r="718">
      <c r="B718" s="34"/>
      <c r="C718" s="25"/>
    </row>
    <row r="719">
      <c r="B719" s="34"/>
      <c r="C719" s="25"/>
    </row>
    <row r="720">
      <c r="B720" s="34"/>
      <c r="C720" s="25"/>
    </row>
    <row r="721">
      <c r="B721" s="34"/>
      <c r="C721" s="25"/>
    </row>
    <row r="722">
      <c r="B722" s="34"/>
      <c r="C722" s="25"/>
    </row>
    <row r="723">
      <c r="B723" s="34"/>
      <c r="C723" s="25"/>
    </row>
    <row r="724">
      <c r="B724" s="34"/>
      <c r="C724" s="25"/>
    </row>
    <row r="725">
      <c r="B725" s="34"/>
      <c r="C725" s="25"/>
    </row>
    <row r="726">
      <c r="B726" s="34"/>
      <c r="C726" s="25"/>
    </row>
    <row r="727">
      <c r="B727" s="34"/>
      <c r="C727" s="25"/>
    </row>
    <row r="728">
      <c r="B728" s="34"/>
      <c r="C728" s="25"/>
    </row>
    <row r="729">
      <c r="B729" s="34"/>
      <c r="C729" s="25"/>
    </row>
    <row r="730">
      <c r="B730" s="34"/>
      <c r="C730" s="25"/>
    </row>
    <row r="731">
      <c r="B731" s="34"/>
      <c r="C731" s="25"/>
    </row>
    <row r="732">
      <c r="B732" s="34"/>
      <c r="C732" s="25"/>
    </row>
    <row r="733">
      <c r="B733" s="34"/>
      <c r="C733" s="25"/>
    </row>
    <row r="734">
      <c r="B734" s="34"/>
      <c r="C734" s="25"/>
    </row>
    <row r="735">
      <c r="B735" s="34"/>
      <c r="C735" s="25"/>
    </row>
    <row r="736">
      <c r="B736" s="34"/>
      <c r="C736" s="25"/>
    </row>
    <row r="737">
      <c r="B737" s="34"/>
      <c r="C737" s="25"/>
    </row>
    <row r="738">
      <c r="B738" s="34"/>
      <c r="C738" s="25"/>
    </row>
    <row r="739">
      <c r="B739" s="34"/>
      <c r="C739" s="25"/>
    </row>
    <row r="740">
      <c r="B740" s="34"/>
      <c r="C740" s="25"/>
    </row>
    <row r="741">
      <c r="B741" s="34"/>
      <c r="C741" s="25"/>
    </row>
    <row r="742">
      <c r="B742" s="34"/>
      <c r="C742" s="25"/>
    </row>
    <row r="743">
      <c r="B743" s="34"/>
      <c r="C743" s="25"/>
    </row>
    <row r="744">
      <c r="B744" s="34"/>
      <c r="C744" s="25"/>
    </row>
    <row r="745">
      <c r="B745" s="34"/>
      <c r="C745" s="25"/>
    </row>
    <row r="746">
      <c r="B746" s="34"/>
      <c r="C746" s="25"/>
    </row>
    <row r="747">
      <c r="B747" s="34"/>
      <c r="C747" s="25"/>
    </row>
    <row r="748">
      <c r="B748" s="34"/>
      <c r="C748" s="25"/>
    </row>
    <row r="749">
      <c r="B749" s="34"/>
      <c r="C749" s="25"/>
    </row>
    <row r="750">
      <c r="B750" s="34"/>
      <c r="C750" s="25"/>
    </row>
    <row r="751">
      <c r="B751" s="34"/>
      <c r="C751" s="25"/>
    </row>
    <row r="752">
      <c r="B752" s="34"/>
      <c r="C752" s="25"/>
    </row>
    <row r="753">
      <c r="B753" s="34"/>
      <c r="C753" s="25"/>
    </row>
    <row r="754">
      <c r="B754" s="34"/>
      <c r="C754" s="25"/>
    </row>
    <row r="755">
      <c r="B755" s="34"/>
      <c r="C755" s="25"/>
    </row>
    <row r="756">
      <c r="B756" s="34"/>
      <c r="C756" s="25"/>
    </row>
    <row r="757">
      <c r="B757" s="33"/>
      <c r="C757" s="25"/>
    </row>
    <row r="758">
      <c r="B758" s="34"/>
      <c r="C758" s="25"/>
    </row>
    <row r="759">
      <c r="B759" s="34"/>
      <c r="C759" s="25"/>
    </row>
    <row r="760">
      <c r="B760" s="34"/>
      <c r="C760" s="25"/>
    </row>
    <row r="761">
      <c r="B761" s="34"/>
      <c r="C761" s="25"/>
    </row>
    <row r="762">
      <c r="B762" s="34"/>
      <c r="C762" s="25"/>
    </row>
    <row r="763">
      <c r="B763" s="34"/>
      <c r="C763" s="25"/>
    </row>
    <row r="764">
      <c r="B764" s="34"/>
      <c r="C764" s="25"/>
    </row>
    <row r="765">
      <c r="B765" s="34"/>
      <c r="C765" s="25"/>
    </row>
    <row r="766">
      <c r="B766" s="34"/>
      <c r="C766" s="25"/>
    </row>
    <row r="767">
      <c r="B767" s="34"/>
      <c r="C767" s="25"/>
    </row>
    <row r="768">
      <c r="B768" s="34"/>
      <c r="C768" s="25"/>
    </row>
    <row r="769">
      <c r="B769" s="34"/>
      <c r="C769" s="25"/>
    </row>
    <row r="770">
      <c r="B770" s="34"/>
      <c r="C770" s="25"/>
    </row>
    <row r="771">
      <c r="B771" s="34"/>
      <c r="C771" s="25"/>
    </row>
    <row r="772">
      <c r="B772" s="34"/>
      <c r="C772" s="25"/>
    </row>
    <row r="773">
      <c r="B773" s="34"/>
      <c r="C773" s="25"/>
    </row>
    <row r="774">
      <c r="B774" s="34"/>
      <c r="C774" s="25"/>
    </row>
    <row r="775">
      <c r="B775" s="34"/>
      <c r="C775" s="25"/>
    </row>
    <row r="776">
      <c r="B776" s="34"/>
      <c r="C776" s="25"/>
    </row>
    <row r="777">
      <c r="B777" s="34"/>
      <c r="C777" s="25"/>
    </row>
    <row r="778">
      <c r="B778" s="34"/>
      <c r="C778" s="25"/>
    </row>
    <row r="779">
      <c r="B779" s="34"/>
      <c r="C779" s="25"/>
    </row>
    <row r="780">
      <c r="B780" s="34"/>
      <c r="C780" s="25"/>
    </row>
    <row r="781">
      <c r="B781" s="34"/>
      <c r="C781" s="25"/>
    </row>
    <row r="782">
      <c r="B782" s="34"/>
      <c r="C782" s="25"/>
    </row>
    <row r="783">
      <c r="B783" s="34"/>
      <c r="C783" s="25"/>
    </row>
    <row r="784">
      <c r="B784" s="34"/>
      <c r="C784" s="25"/>
    </row>
    <row r="785">
      <c r="B785" s="34"/>
      <c r="C785" s="25"/>
    </row>
    <row r="786">
      <c r="B786" s="34"/>
      <c r="C786" s="25"/>
    </row>
    <row r="787">
      <c r="B787" s="34"/>
      <c r="C787" s="25"/>
    </row>
    <row r="788">
      <c r="B788" s="34"/>
      <c r="C788" s="25"/>
    </row>
    <row r="789">
      <c r="B789" s="34"/>
      <c r="C789" s="25"/>
    </row>
    <row r="790">
      <c r="B790" s="34"/>
      <c r="C790" s="25"/>
    </row>
    <row r="791">
      <c r="B791" s="34"/>
      <c r="C791" s="25"/>
    </row>
    <row r="792">
      <c r="B792" s="34"/>
      <c r="C792" s="25"/>
    </row>
    <row r="793">
      <c r="B793" s="34"/>
      <c r="C793" s="25"/>
    </row>
    <row r="794">
      <c r="B794" s="34"/>
      <c r="C794" s="25"/>
    </row>
    <row r="795">
      <c r="B795" s="34"/>
      <c r="C795" s="25"/>
    </row>
    <row r="796">
      <c r="B796" s="34"/>
      <c r="C796" s="25"/>
    </row>
    <row r="797">
      <c r="B797" s="34"/>
      <c r="C797" s="25"/>
    </row>
    <row r="798">
      <c r="B798" s="34"/>
      <c r="C798" s="25"/>
    </row>
    <row r="799">
      <c r="B799" s="34"/>
      <c r="C799" s="25"/>
    </row>
    <row r="800">
      <c r="B800" s="34"/>
      <c r="C800" s="25"/>
    </row>
    <row r="801">
      <c r="B801" s="34"/>
      <c r="C801" s="25"/>
    </row>
    <row r="802">
      <c r="B802" s="34"/>
      <c r="C802" s="25"/>
    </row>
    <row r="803">
      <c r="B803" s="34"/>
      <c r="C803" s="25"/>
    </row>
    <row r="804">
      <c r="B804" s="34"/>
      <c r="C804" s="25"/>
    </row>
    <row r="805">
      <c r="B805" s="34"/>
      <c r="C805" s="25"/>
    </row>
    <row r="806">
      <c r="B806" s="34"/>
      <c r="C806" s="25"/>
    </row>
    <row r="807">
      <c r="B807" s="34"/>
      <c r="C807" s="25"/>
    </row>
    <row r="808">
      <c r="B808" s="34"/>
      <c r="C808" s="25"/>
    </row>
    <row r="809">
      <c r="B809" s="34"/>
      <c r="C809" s="25"/>
    </row>
    <row r="810">
      <c r="B810" s="34"/>
      <c r="C810" s="25"/>
    </row>
    <row r="811">
      <c r="B811" s="33"/>
      <c r="C811" s="25"/>
    </row>
    <row r="812">
      <c r="B812" s="34"/>
      <c r="C812" s="25"/>
    </row>
    <row r="813">
      <c r="B813" s="34"/>
      <c r="C813" s="25"/>
    </row>
    <row r="814">
      <c r="B814" s="34"/>
      <c r="C814" s="25"/>
    </row>
    <row r="815">
      <c r="B815" s="34"/>
      <c r="C815" s="25"/>
    </row>
    <row r="816">
      <c r="B816" s="34"/>
      <c r="C816" s="25"/>
    </row>
    <row r="817">
      <c r="B817" s="34"/>
      <c r="C817" s="25"/>
    </row>
    <row r="818">
      <c r="B818" s="34"/>
      <c r="C818" s="25"/>
    </row>
    <row r="819">
      <c r="B819" s="34"/>
      <c r="C819" s="25"/>
    </row>
    <row r="820">
      <c r="B820" s="34"/>
      <c r="C820" s="25"/>
    </row>
    <row r="821">
      <c r="B821" s="34"/>
      <c r="C821" s="25"/>
    </row>
    <row r="822">
      <c r="B822" s="34"/>
      <c r="C822" s="25"/>
    </row>
    <row r="823">
      <c r="B823" s="34"/>
      <c r="C823" s="25"/>
    </row>
    <row r="824">
      <c r="B824" s="34"/>
      <c r="C824" s="25"/>
    </row>
    <row r="825">
      <c r="B825" s="34"/>
      <c r="C825" s="25"/>
    </row>
    <row r="826">
      <c r="B826" s="34"/>
      <c r="C826" s="25"/>
    </row>
    <row r="827">
      <c r="B827" s="34"/>
      <c r="C827" s="25"/>
    </row>
    <row r="828">
      <c r="B828" s="34"/>
      <c r="C828" s="25"/>
    </row>
    <row r="829">
      <c r="B829" s="34"/>
      <c r="C829" s="25"/>
    </row>
    <row r="830">
      <c r="B830" s="34"/>
      <c r="C830" s="25"/>
    </row>
    <row r="831">
      <c r="B831" s="34"/>
      <c r="C831" s="25"/>
    </row>
    <row r="832">
      <c r="B832" s="34"/>
      <c r="C832" s="25"/>
    </row>
    <row r="833">
      <c r="B833" s="34"/>
      <c r="C833" s="25"/>
    </row>
    <row r="834">
      <c r="B834" s="34"/>
      <c r="C834" s="25"/>
    </row>
    <row r="835">
      <c r="B835" s="34"/>
      <c r="C835" s="25"/>
    </row>
    <row r="836">
      <c r="B836" s="34"/>
      <c r="C836" s="25"/>
    </row>
    <row r="837">
      <c r="B837" s="34"/>
      <c r="C837" s="25"/>
    </row>
    <row r="838">
      <c r="B838" s="34"/>
      <c r="C838" s="25"/>
    </row>
    <row r="839">
      <c r="B839" s="34"/>
      <c r="C839" s="25"/>
    </row>
    <row r="840">
      <c r="B840" s="34"/>
      <c r="C840" s="25"/>
    </row>
    <row r="841">
      <c r="B841" s="34"/>
      <c r="C841" s="25"/>
    </row>
    <row r="842">
      <c r="B842" s="34"/>
      <c r="C842" s="25"/>
    </row>
    <row r="843">
      <c r="B843" s="34"/>
      <c r="C843" s="25"/>
    </row>
    <row r="844">
      <c r="B844" s="34"/>
      <c r="C844" s="25"/>
    </row>
    <row r="845">
      <c r="B845" s="34"/>
      <c r="C845" s="25"/>
    </row>
    <row r="846">
      <c r="B846" s="34"/>
      <c r="C846" s="25"/>
    </row>
    <row r="847">
      <c r="B847" s="34"/>
      <c r="C847" s="25"/>
    </row>
    <row r="848">
      <c r="B848" s="34"/>
      <c r="C848" s="25"/>
    </row>
    <row r="849">
      <c r="B849" s="34"/>
      <c r="C849" s="25"/>
    </row>
    <row r="850">
      <c r="B850" s="34"/>
      <c r="C850" s="25"/>
    </row>
    <row r="851">
      <c r="B851" s="34"/>
      <c r="C851" s="25"/>
    </row>
    <row r="852">
      <c r="B852" s="34"/>
      <c r="C852" s="25"/>
    </row>
    <row r="853">
      <c r="B853" s="34"/>
      <c r="C853" s="25"/>
    </row>
    <row r="854">
      <c r="B854" s="34"/>
      <c r="C854" s="25"/>
    </row>
    <row r="855">
      <c r="B855" s="34"/>
      <c r="C855" s="25"/>
    </row>
    <row r="856">
      <c r="B856" s="34"/>
      <c r="C856" s="25"/>
    </row>
    <row r="857">
      <c r="B857" s="34"/>
      <c r="C857" s="25"/>
    </row>
    <row r="858">
      <c r="B858" s="34"/>
      <c r="C858" s="25"/>
    </row>
    <row r="859">
      <c r="B859" s="34"/>
      <c r="C859" s="25"/>
    </row>
    <row r="860">
      <c r="B860" s="34"/>
      <c r="C860" s="25"/>
    </row>
    <row r="861">
      <c r="B861" s="34"/>
      <c r="C861" s="25"/>
    </row>
    <row r="862">
      <c r="B862" s="34"/>
      <c r="C862" s="25"/>
    </row>
    <row r="863">
      <c r="B863" s="34"/>
      <c r="C863" s="25"/>
    </row>
    <row r="864">
      <c r="B864" s="34"/>
      <c r="C864" s="25"/>
    </row>
    <row r="865">
      <c r="B865" s="33"/>
      <c r="C865" s="25"/>
    </row>
    <row r="866">
      <c r="B866" s="34"/>
      <c r="C866" s="25"/>
    </row>
    <row r="867">
      <c r="B867" s="34"/>
      <c r="C867" s="25"/>
    </row>
    <row r="868">
      <c r="B868" s="34"/>
      <c r="C868" s="25"/>
    </row>
    <row r="869">
      <c r="B869" s="34"/>
      <c r="C869" s="25"/>
    </row>
    <row r="870">
      <c r="B870" s="34"/>
      <c r="C870" s="25"/>
    </row>
    <row r="871">
      <c r="B871" s="34"/>
      <c r="C871" s="25"/>
    </row>
    <row r="872">
      <c r="B872" s="34"/>
      <c r="C872" s="25"/>
    </row>
    <row r="873">
      <c r="B873" s="34"/>
      <c r="C873" s="25"/>
    </row>
    <row r="874">
      <c r="B874" s="34"/>
      <c r="C874" s="25"/>
    </row>
    <row r="875">
      <c r="B875" s="34"/>
      <c r="C875" s="25"/>
    </row>
    <row r="876">
      <c r="B876" s="34"/>
      <c r="C876" s="25"/>
    </row>
    <row r="877">
      <c r="B877" s="34"/>
      <c r="C877" s="25"/>
    </row>
    <row r="878">
      <c r="B878" s="34"/>
      <c r="C878" s="25"/>
    </row>
    <row r="879">
      <c r="B879" s="34"/>
      <c r="C879" s="25"/>
    </row>
    <row r="880">
      <c r="B880" s="34"/>
      <c r="C880" s="25"/>
    </row>
    <row r="881">
      <c r="B881" s="34"/>
      <c r="C881" s="25"/>
    </row>
    <row r="882">
      <c r="B882" s="34"/>
      <c r="C882" s="25"/>
    </row>
    <row r="883">
      <c r="B883" s="34"/>
      <c r="C883" s="25"/>
    </row>
    <row r="884">
      <c r="B884" s="34"/>
      <c r="C884" s="25"/>
    </row>
    <row r="885">
      <c r="B885" s="34"/>
      <c r="C885" s="25"/>
    </row>
    <row r="886">
      <c r="B886" s="34"/>
      <c r="C886" s="25"/>
    </row>
    <row r="887">
      <c r="B887" s="34"/>
      <c r="C887" s="25"/>
    </row>
    <row r="888">
      <c r="B888" s="34"/>
      <c r="C888" s="25"/>
    </row>
    <row r="889">
      <c r="B889" s="34"/>
      <c r="C889" s="25"/>
    </row>
    <row r="890">
      <c r="B890" s="34"/>
      <c r="C890" s="25"/>
    </row>
    <row r="891">
      <c r="B891" s="34"/>
      <c r="C891" s="25"/>
    </row>
    <row r="892">
      <c r="B892" s="34"/>
      <c r="C892" s="25"/>
    </row>
    <row r="893">
      <c r="B893" s="34"/>
      <c r="C893" s="25"/>
    </row>
    <row r="894">
      <c r="B894" s="34"/>
      <c r="C894" s="25"/>
    </row>
    <row r="895">
      <c r="B895" s="34"/>
      <c r="C895" s="25"/>
    </row>
    <row r="896">
      <c r="B896" s="34"/>
      <c r="C896" s="25"/>
    </row>
    <row r="897">
      <c r="B897" s="34"/>
      <c r="C897" s="25"/>
    </row>
    <row r="898">
      <c r="B898" s="34"/>
      <c r="C898" s="25"/>
    </row>
    <row r="899">
      <c r="B899" s="34"/>
      <c r="C899" s="25"/>
    </row>
    <row r="900">
      <c r="B900" s="34"/>
      <c r="C900" s="25"/>
    </row>
    <row r="901">
      <c r="B901" s="34"/>
      <c r="C901" s="25"/>
    </row>
    <row r="902">
      <c r="B902" s="34"/>
      <c r="C902" s="25"/>
    </row>
    <row r="903">
      <c r="B903" s="34"/>
      <c r="C903" s="25"/>
    </row>
    <row r="904">
      <c r="B904" s="34"/>
      <c r="C904" s="25"/>
    </row>
    <row r="905">
      <c r="B905" s="34"/>
      <c r="C905" s="25"/>
    </row>
    <row r="906">
      <c r="B906" s="34"/>
      <c r="C906" s="25"/>
    </row>
    <row r="907">
      <c r="B907" s="34"/>
      <c r="C907" s="25"/>
    </row>
    <row r="908">
      <c r="B908" s="34"/>
      <c r="C908" s="25"/>
    </row>
    <row r="909">
      <c r="B909" s="34"/>
      <c r="C909" s="25"/>
    </row>
    <row r="910">
      <c r="B910" s="34"/>
      <c r="C910" s="25"/>
    </row>
    <row r="911">
      <c r="B911" s="34"/>
      <c r="C911" s="25"/>
    </row>
    <row r="912">
      <c r="B912" s="34"/>
      <c r="C912" s="25"/>
    </row>
    <row r="913">
      <c r="B913" s="34"/>
      <c r="C913" s="25"/>
    </row>
    <row r="914">
      <c r="B914" s="34"/>
      <c r="C914" s="25"/>
    </row>
    <row r="915">
      <c r="B915" s="34"/>
      <c r="C915" s="25"/>
    </row>
    <row r="916">
      <c r="B916" s="34"/>
      <c r="C916" s="25"/>
    </row>
    <row r="917">
      <c r="B917" s="34"/>
      <c r="C917" s="25"/>
    </row>
    <row r="918">
      <c r="B918" s="34"/>
      <c r="C918" s="25"/>
    </row>
    <row r="919">
      <c r="B919" s="33"/>
      <c r="C919" s="25"/>
    </row>
    <row r="920">
      <c r="B920" s="34"/>
      <c r="C920" s="25"/>
    </row>
    <row r="921">
      <c r="B921" s="34"/>
      <c r="C921" s="25"/>
    </row>
    <row r="922">
      <c r="B922" s="34"/>
      <c r="C922" s="25"/>
    </row>
    <row r="923">
      <c r="B923" s="34"/>
      <c r="C923" s="25"/>
    </row>
    <row r="924">
      <c r="B924" s="34"/>
      <c r="C924" s="25"/>
    </row>
    <row r="925">
      <c r="B925" s="34"/>
      <c r="C925" s="25"/>
    </row>
    <row r="926">
      <c r="B926" s="34"/>
      <c r="C926" s="25"/>
    </row>
    <row r="927">
      <c r="B927" s="34"/>
      <c r="C927" s="25"/>
    </row>
    <row r="928">
      <c r="B928" s="34"/>
      <c r="C928" s="25"/>
    </row>
    <row r="929">
      <c r="B929" s="34"/>
      <c r="C929" s="25"/>
    </row>
    <row r="930">
      <c r="B930" s="34"/>
      <c r="C930" s="25"/>
    </row>
    <row r="931">
      <c r="B931" s="34"/>
      <c r="C931" s="25"/>
    </row>
    <row r="932">
      <c r="B932" s="34"/>
      <c r="C932" s="25"/>
    </row>
    <row r="933">
      <c r="B933" s="34"/>
      <c r="C933" s="25"/>
    </row>
    <row r="934">
      <c r="B934" s="34"/>
      <c r="C934" s="25"/>
    </row>
    <row r="935">
      <c r="B935" s="34"/>
      <c r="C935" s="25"/>
    </row>
    <row r="936">
      <c r="B936" s="34"/>
      <c r="C936" s="25"/>
    </row>
    <row r="937">
      <c r="B937" s="34"/>
      <c r="C937" s="25"/>
    </row>
    <row r="938">
      <c r="B938" s="34"/>
      <c r="C938" s="25"/>
    </row>
    <row r="939">
      <c r="B939" s="34"/>
      <c r="C939" s="25"/>
    </row>
    <row r="940">
      <c r="B940" s="34"/>
      <c r="C940" s="25"/>
    </row>
    <row r="941">
      <c r="B941" s="34"/>
      <c r="C941" s="25"/>
    </row>
    <row r="942">
      <c r="B942" s="34"/>
      <c r="C942" s="25"/>
    </row>
    <row r="943">
      <c r="B943" s="34"/>
      <c r="C943" s="25"/>
    </row>
    <row r="944">
      <c r="B944" s="34"/>
      <c r="C944" s="25"/>
    </row>
    <row r="945">
      <c r="B945" s="34"/>
      <c r="C945" s="25"/>
    </row>
    <row r="946">
      <c r="B946" s="34"/>
      <c r="C946" s="25"/>
    </row>
    <row r="947">
      <c r="B947" s="34"/>
      <c r="C947" s="25"/>
    </row>
    <row r="948">
      <c r="B948" s="34"/>
      <c r="C948" s="25"/>
    </row>
    <row r="949">
      <c r="B949" s="34"/>
      <c r="C949" s="25"/>
    </row>
    <row r="950">
      <c r="B950" s="34"/>
      <c r="C950" s="25"/>
    </row>
    <row r="951">
      <c r="B951" s="34"/>
      <c r="C951" s="25"/>
    </row>
    <row r="952">
      <c r="B952" s="34"/>
      <c r="C952" s="25"/>
    </row>
    <row r="953">
      <c r="B953" s="34"/>
      <c r="C953" s="25"/>
    </row>
    <row r="954">
      <c r="B954" s="34"/>
      <c r="C954" s="25"/>
    </row>
    <row r="955">
      <c r="B955" s="34"/>
      <c r="C955" s="25"/>
    </row>
    <row r="956">
      <c r="B956" s="34"/>
      <c r="C956" s="25"/>
    </row>
    <row r="957">
      <c r="B957" s="34"/>
      <c r="C957" s="25"/>
    </row>
    <row r="958">
      <c r="B958" s="34"/>
      <c r="C958" s="25"/>
    </row>
    <row r="959">
      <c r="B959" s="34"/>
      <c r="C959" s="25"/>
    </row>
    <row r="960">
      <c r="B960" s="34"/>
      <c r="C960" s="25"/>
    </row>
    <row r="961">
      <c r="B961" s="34"/>
      <c r="C961" s="25"/>
    </row>
    <row r="962">
      <c r="B962" s="34"/>
      <c r="C962" s="25"/>
    </row>
    <row r="963">
      <c r="B963" s="34"/>
      <c r="C963" s="25"/>
    </row>
    <row r="964">
      <c r="B964" s="34"/>
      <c r="C964" s="25"/>
    </row>
    <row r="965">
      <c r="B965" s="34"/>
      <c r="C965" s="25"/>
    </row>
    <row r="966">
      <c r="B966" s="34"/>
      <c r="C966" s="25"/>
    </row>
    <row r="967">
      <c r="B967" s="34"/>
      <c r="C967" s="25"/>
    </row>
    <row r="968">
      <c r="B968" s="34"/>
      <c r="C968" s="25"/>
    </row>
    <row r="969">
      <c r="B969" s="34"/>
      <c r="C969" s="25"/>
    </row>
    <row r="970">
      <c r="B970" s="34"/>
      <c r="C970" s="25"/>
    </row>
    <row r="971">
      <c r="B971" s="34"/>
      <c r="C971" s="25"/>
    </row>
    <row r="972">
      <c r="B972" s="34"/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0</v>
      </c>
      <c r="B1" s="36" t="s">
        <v>66</v>
      </c>
      <c r="C1" s="36" t="s">
        <v>67</v>
      </c>
      <c r="D1" s="37" t="s">
        <v>89</v>
      </c>
      <c r="E1" s="37" t="s">
        <v>90</v>
      </c>
      <c r="F1" s="38" t="s">
        <v>91</v>
      </c>
      <c r="H1" s="39" t="s">
        <v>92</v>
      </c>
      <c r="I1" s="40"/>
    </row>
    <row r="2">
      <c r="A2" s="41" t="s">
        <v>9</v>
      </c>
      <c r="B2" s="25">
        <v>0.007552607388636279</v>
      </c>
      <c r="C2" s="25">
        <v>-0.08321191516917603</v>
      </c>
      <c r="D2" s="42">
        <f t="shared" ref="D2:E2" si="1">B2-AVERAGE(B$2:B$53)</f>
        <v>-0.002697016537</v>
      </c>
      <c r="E2" s="42">
        <f t="shared" si="1"/>
        <v>-0.07898338561</v>
      </c>
      <c r="F2" s="43">
        <f t="shared" ref="F2:F54" si="3">D2*E2</f>
        <v>0.0002130194971</v>
      </c>
      <c r="H2" s="44" t="s">
        <v>93</v>
      </c>
      <c r="I2" s="45">
        <f>_xlfn.COVARIANCE.S(B2:B53, C2:C53)</f>
        <v>0.0002285632458</v>
      </c>
      <c r="J2" s="46" t="s">
        <v>94</v>
      </c>
    </row>
    <row r="3">
      <c r="A3" s="41" t="s">
        <v>10</v>
      </c>
      <c r="B3" s="25">
        <v>-0.022606964207663505</v>
      </c>
      <c r="C3" s="25">
        <v>-0.0492535016161304</v>
      </c>
      <c r="D3" s="42">
        <f t="shared" ref="D3:E3" si="2">B3-AVERAGE(B$2:B$53)</f>
        <v>-0.03285658813</v>
      </c>
      <c r="E3" s="42">
        <f t="shared" si="2"/>
        <v>-0.04502497206</v>
      </c>
      <c r="F3" s="43">
        <f t="shared" si="3"/>
        <v>0.001479366963</v>
      </c>
      <c r="H3" s="47" t="s">
        <v>95</v>
      </c>
      <c r="I3" s="45">
        <f>CORREL(B2:B53, C2:C53)</f>
        <v>0.06618520071</v>
      </c>
      <c r="J3" s="46" t="s">
        <v>96</v>
      </c>
    </row>
    <row r="4">
      <c r="A4" s="41" t="s">
        <v>11</v>
      </c>
      <c r="B4" s="25">
        <v>-0.013463012648524342</v>
      </c>
      <c r="C4" s="25">
        <v>0.03603890926487008</v>
      </c>
      <c r="D4" s="42">
        <f t="shared" ref="D4:E4" si="4">B4-AVERAGE(B$2:B$53)</f>
        <v>-0.02371263657</v>
      </c>
      <c r="E4" s="42">
        <f t="shared" si="4"/>
        <v>0.04026743882</v>
      </c>
      <c r="F4" s="43">
        <f t="shared" si="3"/>
        <v>-0.0009548471425</v>
      </c>
    </row>
    <row r="5">
      <c r="A5" s="41" t="s">
        <v>12</v>
      </c>
      <c r="B5" s="25">
        <v>0.015397338911726788</v>
      </c>
      <c r="C5" s="25">
        <v>-0.012440944881889737</v>
      </c>
      <c r="D5" s="42">
        <f t="shared" ref="D5:E5" si="5">B5-AVERAGE(B$2:B$53)</f>
        <v>0.005147714986</v>
      </c>
      <c r="E5" s="42">
        <f t="shared" si="5"/>
        <v>-0.008212415325</v>
      </c>
      <c r="F5" s="43">
        <f t="shared" si="3"/>
        <v>-0.00004227517344</v>
      </c>
    </row>
    <row r="6">
      <c r="A6" s="41" t="s">
        <v>13</v>
      </c>
      <c r="B6" s="25">
        <v>-0.04484096559094819</v>
      </c>
      <c r="C6" s="25">
        <v>0.03420195439739415</v>
      </c>
      <c r="D6" s="42">
        <f t="shared" ref="D6:E6" si="6">B6-AVERAGE(B$2:B$53)</f>
        <v>-0.05509058952</v>
      </c>
      <c r="E6" s="42">
        <f t="shared" si="6"/>
        <v>0.03843048395</v>
      </c>
      <c r="F6" s="43">
        <f t="shared" si="3"/>
        <v>-0.002117158016</v>
      </c>
    </row>
    <row r="7">
      <c r="A7" s="41" t="s">
        <v>14</v>
      </c>
      <c r="B7" s="25">
        <v>-0.0415311985035407</v>
      </c>
      <c r="C7" s="25">
        <v>-0.04968271165454263</v>
      </c>
      <c r="D7" s="42">
        <f t="shared" ref="D7:E7" si="7">B7-AVERAGE(B$2:B$53)</f>
        <v>-0.05178082243</v>
      </c>
      <c r="E7" s="42">
        <f t="shared" si="7"/>
        <v>-0.0454541821</v>
      </c>
      <c r="F7" s="43">
        <f t="shared" si="3"/>
        <v>0.002353654932</v>
      </c>
    </row>
    <row r="8">
      <c r="A8" s="41" t="s">
        <v>15</v>
      </c>
      <c r="B8" s="25">
        <v>0.02642285714285708</v>
      </c>
      <c r="C8" s="25">
        <v>0.010162601626016343</v>
      </c>
      <c r="D8" s="42">
        <f t="shared" ref="D8:E8" si="8">B8-AVERAGE(B$2:B$53)</f>
        <v>0.01617323322</v>
      </c>
      <c r="E8" s="42">
        <f t="shared" si="8"/>
        <v>0.01439113118</v>
      </c>
      <c r="F8" s="43">
        <f t="shared" si="3"/>
        <v>0.0002327511209</v>
      </c>
    </row>
    <row r="9">
      <c r="A9" s="41" t="s">
        <v>16</v>
      </c>
      <c r="B9" s="25">
        <v>-0.01687602525785936</v>
      </c>
      <c r="C9" s="25">
        <v>-0.0233623453962436</v>
      </c>
      <c r="D9" s="42">
        <f t="shared" ref="D9:E9" si="9">B9-AVERAGE(B$2:B$53)</f>
        <v>-0.02712564918</v>
      </c>
      <c r="E9" s="42">
        <f t="shared" si="9"/>
        <v>-0.01913381584</v>
      </c>
      <c r="F9" s="43">
        <f t="shared" si="3"/>
        <v>0.000519017176</v>
      </c>
    </row>
    <row r="10">
      <c r="A10" s="41" t="s">
        <v>17</v>
      </c>
      <c r="B10" s="25">
        <v>0.01584221699728361</v>
      </c>
      <c r="C10" s="25">
        <v>0.041839007317849175</v>
      </c>
      <c r="D10" s="42">
        <f t="shared" ref="D10:E10" si="10">B10-AVERAGE(B$2:B$53)</f>
        <v>0.005592593072</v>
      </c>
      <c r="E10" s="42">
        <f t="shared" si="10"/>
        <v>0.04606753687</v>
      </c>
      <c r="F10" s="43">
        <f t="shared" si="3"/>
        <v>0.0002576369876</v>
      </c>
    </row>
    <row r="11">
      <c r="A11" s="41" t="s">
        <v>18</v>
      </c>
      <c r="B11" s="25">
        <v>-0.0781161219722637</v>
      </c>
      <c r="C11" s="25">
        <v>0.038493309102924034</v>
      </c>
      <c r="D11" s="42">
        <f t="shared" ref="D11:E11" si="11">B11-AVERAGE(B$2:B$53)</f>
        <v>-0.0883657459</v>
      </c>
      <c r="E11" s="42">
        <f t="shared" si="11"/>
        <v>0.04272183866</v>
      </c>
      <c r="F11" s="43">
        <f t="shared" si="3"/>
        <v>-0.003775147139</v>
      </c>
    </row>
    <row r="12">
      <c r="A12" s="41" t="s">
        <v>19</v>
      </c>
      <c r="B12" s="25">
        <v>-0.012489609310058158</v>
      </c>
      <c r="C12" s="25">
        <v>0.0378943758573389</v>
      </c>
      <c r="D12" s="42">
        <f t="shared" ref="D12:E12" si="12">B12-AVERAGE(B$2:B$53)</f>
        <v>-0.02273923324</v>
      </c>
      <c r="E12" s="42">
        <f t="shared" si="12"/>
        <v>0.04212290541</v>
      </c>
      <c r="F12" s="43">
        <f t="shared" si="3"/>
        <v>-0.0009578425708</v>
      </c>
    </row>
    <row r="13">
      <c r="A13" s="41" t="s">
        <v>20</v>
      </c>
      <c r="B13" s="25">
        <v>0.04845738190692006</v>
      </c>
      <c r="C13" s="25">
        <v>-0.1299418170968223</v>
      </c>
      <c r="D13" s="42">
        <f t="shared" ref="D13:E13" si="13">B13-AVERAGE(B$2:B$53)</f>
        <v>0.03820775798</v>
      </c>
      <c r="E13" s="42">
        <f t="shared" si="13"/>
        <v>-0.1257132875</v>
      </c>
      <c r="F13" s="43">
        <f t="shared" si="3"/>
        <v>-0.004803222865</v>
      </c>
    </row>
    <row r="14">
      <c r="A14" s="41" t="s">
        <v>21</v>
      </c>
      <c r="B14" s="25">
        <v>0.008703296703296726</v>
      </c>
      <c r="C14" s="25">
        <v>0.03107214274726955</v>
      </c>
      <c r="D14" s="42">
        <f t="shared" ref="D14:E14" si="14">B14-AVERAGE(B$2:B$53)</f>
        <v>-0.001546327222</v>
      </c>
      <c r="E14" s="42">
        <f t="shared" si="14"/>
        <v>0.0353006723</v>
      </c>
      <c r="F14" s="43">
        <f t="shared" si="3"/>
        <v>-0.00005458639055</v>
      </c>
    </row>
    <row r="15">
      <c r="A15" s="41" t="s">
        <v>22</v>
      </c>
      <c r="B15" s="25">
        <v>0.0577213659715925</v>
      </c>
      <c r="C15" s="25">
        <v>0.018965517241379404</v>
      </c>
      <c r="D15" s="42">
        <f t="shared" ref="D15:E15" si="15">B15-AVERAGE(B$2:B$53)</f>
        <v>0.04747174205</v>
      </c>
      <c r="E15" s="42">
        <f t="shared" si="15"/>
        <v>0.0231940468</v>
      </c>
      <c r="F15" s="43">
        <f t="shared" si="3"/>
        <v>0.001101061807</v>
      </c>
    </row>
    <row r="16">
      <c r="A16" s="41" t="s">
        <v>23</v>
      </c>
      <c r="B16" s="25">
        <v>0.09992584827021922</v>
      </c>
      <c r="C16" s="25">
        <v>0.02919825778351348</v>
      </c>
      <c r="D16" s="42">
        <f t="shared" ref="D16:E16" si="16">B16-AVERAGE(B$2:B$53)</f>
        <v>0.08967622434</v>
      </c>
      <c r="E16" s="42">
        <f t="shared" si="16"/>
        <v>0.03342678734</v>
      </c>
      <c r="F16" s="43">
        <f t="shared" si="3"/>
        <v>0.002997588081</v>
      </c>
    </row>
    <row r="17">
      <c r="A17" s="41" t="s">
        <v>24</v>
      </c>
      <c r="B17" s="25">
        <v>-0.032793372078644856</v>
      </c>
      <c r="C17" s="25">
        <v>-0.02131354594253243</v>
      </c>
      <c r="D17" s="42">
        <f t="shared" ref="D17:E17" si="17">B17-AVERAGE(B$2:B$53)</f>
        <v>-0.043042996</v>
      </c>
      <c r="E17" s="42">
        <f t="shared" si="17"/>
        <v>-0.01708501639</v>
      </c>
      <c r="F17" s="43">
        <f t="shared" si="3"/>
        <v>0.000735390292</v>
      </c>
    </row>
    <row r="18">
      <c r="A18" s="41" t="s">
        <v>25</v>
      </c>
      <c r="B18" s="25">
        <v>-0.058600298007077556</v>
      </c>
      <c r="C18" s="25">
        <v>0.050414593698175914</v>
      </c>
      <c r="D18" s="42">
        <f t="shared" ref="D18:E18" si="18">B18-AVERAGE(B$2:B$53)</f>
        <v>-0.06884992193</v>
      </c>
      <c r="E18" s="42">
        <f t="shared" si="18"/>
        <v>0.05464312325</v>
      </c>
      <c r="F18" s="43">
        <f t="shared" si="3"/>
        <v>-0.00376217477</v>
      </c>
    </row>
    <row r="19">
      <c r="A19" s="41" t="s">
        <v>26</v>
      </c>
      <c r="B19" s="25">
        <v>-0.059225512528473856</v>
      </c>
      <c r="C19" s="25">
        <v>-0.05426599749058969</v>
      </c>
      <c r="D19" s="42">
        <f t="shared" ref="D19:E19" si="19">B19-AVERAGE(B$2:B$53)</f>
        <v>-0.06947513645</v>
      </c>
      <c r="E19" s="42">
        <f t="shared" si="19"/>
        <v>-0.05003746793</v>
      </c>
      <c r="F19" s="43">
        <f t="shared" si="3"/>
        <v>0.003476359913</v>
      </c>
    </row>
    <row r="20">
      <c r="A20" s="41" t="s">
        <v>27</v>
      </c>
      <c r="B20" s="25">
        <v>0.052660702757539424</v>
      </c>
      <c r="C20" s="25">
        <v>-0.06537672236880676</v>
      </c>
      <c r="D20" s="42">
        <f t="shared" ref="D20:E20" si="20">B20-AVERAGE(B$2:B$53)</f>
        <v>0.04241107883</v>
      </c>
      <c r="E20" s="42">
        <f t="shared" si="20"/>
        <v>-0.06114819281</v>
      </c>
      <c r="F20" s="43">
        <f t="shared" si="3"/>
        <v>-0.002593360826</v>
      </c>
    </row>
    <row r="21">
      <c r="A21" s="41" t="s">
        <v>28</v>
      </c>
      <c r="B21" s="25">
        <v>-0.012724499783751786</v>
      </c>
      <c r="C21" s="25">
        <v>0.025864661654135368</v>
      </c>
      <c r="D21" s="42">
        <f t="shared" ref="D21:E21" si="21">B21-AVERAGE(B$2:B$53)</f>
        <v>-0.02297412371</v>
      </c>
      <c r="E21" s="42">
        <f t="shared" si="21"/>
        <v>0.03009319121</v>
      </c>
      <c r="F21" s="43">
        <f t="shared" si="3"/>
        <v>-0.0006913646977</v>
      </c>
    </row>
    <row r="22">
      <c r="A22" s="41" t="s">
        <v>29</v>
      </c>
      <c r="B22" s="25">
        <v>0.06244407361725801</v>
      </c>
      <c r="C22" s="25">
        <v>0.032929481205343336</v>
      </c>
      <c r="D22" s="42">
        <f t="shared" ref="D22:E22" si="22">B22-AVERAGE(B$2:B$53)</f>
        <v>0.05219444969</v>
      </c>
      <c r="E22" s="42">
        <f t="shared" si="22"/>
        <v>0.03715801076</v>
      </c>
      <c r="F22" s="43">
        <f t="shared" si="3"/>
        <v>0.001939441923</v>
      </c>
    </row>
    <row r="23">
      <c r="A23" s="41" t="s">
        <v>30</v>
      </c>
      <c r="B23" s="25">
        <v>-0.0380150291975897</v>
      </c>
      <c r="C23" s="25">
        <v>-0.09323943661971834</v>
      </c>
      <c r="D23" s="42">
        <f t="shared" ref="D23:E23" si="23">B23-AVERAGE(B$2:B$53)</f>
        <v>-0.04826465312</v>
      </c>
      <c r="E23" s="42">
        <f t="shared" si="23"/>
        <v>-0.08901090706</v>
      </c>
      <c r="F23" s="43">
        <f t="shared" si="3"/>
        <v>0.004296080554</v>
      </c>
    </row>
    <row r="24">
      <c r="A24" s="41" t="s">
        <v>31</v>
      </c>
      <c r="B24" s="25">
        <v>-0.024000908265213394</v>
      </c>
      <c r="C24" s="25">
        <v>0.037708272434960444</v>
      </c>
      <c r="D24" s="42">
        <f t="shared" ref="D24:E24" si="24">B24-AVERAGE(B$2:B$53)</f>
        <v>-0.03425053219</v>
      </c>
      <c r="E24" s="42">
        <f t="shared" si="24"/>
        <v>0.04193680199</v>
      </c>
      <c r="F24" s="43">
        <f t="shared" si="3"/>
        <v>-0.001436357787</v>
      </c>
    </row>
    <row r="25">
      <c r="A25" s="41" t="s">
        <v>32</v>
      </c>
      <c r="B25" s="25">
        <v>0.03363297110803387</v>
      </c>
      <c r="C25" s="25">
        <v>-0.022292083452414957</v>
      </c>
      <c r="D25" s="42">
        <f t="shared" ref="D25:E25" si="25">B25-AVERAGE(B$2:B$53)</f>
        <v>0.02338334718</v>
      </c>
      <c r="E25" s="42">
        <f t="shared" si="25"/>
        <v>-0.0180635539</v>
      </c>
      <c r="F25" s="43">
        <f t="shared" si="3"/>
        <v>-0.0004223863521</v>
      </c>
    </row>
    <row r="26">
      <c r="A26" s="41" t="s">
        <v>33</v>
      </c>
      <c r="B26" s="25">
        <v>0.07609738849320613</v>
      </c>
      <c r="C26" s="25">
        <v>-0.02886483485983904</v>
      </c>
      <c r="D26" s="42">
        <f t="shared" ref="D26:E26" si="26">B26-AVERAGE(B$2:B$53)</f>
        <v>0.06584776457</v>
      </c>
      <c r="E26" s="42">
        <f t="shared" si="26"/>
        <v>-0.0246363053</v>
      </c>
      <c r="F26" s="43">
        <f t="shared" si="3"/>
        <v>-0.001622245631</v>
      </c>
    </row>
    <row r="27">
      <c r="A27" s="41" t="s">
        <v>34</v>
      </c>
      <c r="B27" s="25">
        <v>0.12854862615437246</v>
      </c>
      <c r="C27" s="25">
        <v>-0.007164508128961078</v>
      </c>
      <c r="D27" s="42">
        <f t="shared" ref="D27:E27" si="27">B27-AVERAGE(B$2:B$53)</f>
        <v>0.1182990022</v>
      </c>
      <c r="E27" s="42">
        <f t="shared" si="27"/>
        <v>-0.002935978573</v>
      </c>
      <c r="F27" s="43">
        <f t="shared" si="3"/>
        <v>-0.0003473233357</v>
      </c>
    </row>
    <row r="28">
      <c r="A28" s="41" t="s">
        <v>35</v>
      </c>
      <c r="B28" s="25">
        <v>0.050828166651690765</v>
      </c>
      <c r="C28" s="25">
        <v>-0.044748618057383616</v>
      </c>
      <c r="D28" s="42">
        <f t="shared" ref="D28:E28" si="28">B28-AVERAGE(B$2:B$53)</f>
        <v>0.04057854273</v>
      </c>
      <c r="E28" s="42">
        <f t="shared" si="28"/>
        <v>-0.0405200885</v>
      </c>
      <c r="F28" s="43">
        <f t="shared" si="3"/>
        <v>-0.001644246142</v>
      </c>
    </row>
    <row r="29">
      <c r="A29" s="41" t="s">
        <v>36</v>
      </c>
      <c r="B29" s="25">
        <v>-0.01805829240316459</v>
      </c>
      <c r="C29" s="25">
        <v>-0.012862154086007438</v>
      </c>
      <c r="D29" s="42">
        <f t="shared" ref="D29:E29" si="29">B29-AVERAGE(B$2:B$53)</f>
        <v>-0.02830791633</v>
      </c>
      <c r="E29" s="42">
        <f t="shared" si="29"/>
        <v>-0.00863362453</v>
      </c>
      <c r="F29" s="43">
        <f t="shared" si="3"/>
        <v>0.0002443999208</v>
      </c>
    </row>
    <row r="30">
      <c r="A30" s="41" t="s">
        <v>37</v>
      </c>
      <c r="B30" s="25">
        <v>0.028587850919651547</v>
      </c>
      <c r="C30" s="25">
        <v>0.01839110875893102</v>
      </c>
      <c r="D30" s="42">
        <f t="shared" ref="D30:E30" si="30">B30-AVERAGE(B$2:B$53)</f>
        <v>0.01833822699</v>
      </c>
      <c r="E30" s="42">
        <f t="shared" si="30"/>
        <v>0.02261963832</v>
      </c>
      <c r="F30" s="43">
        <f t="shared" si="3"/>
        <v>0.000414804062</v>
      </c>
    </row>
    <row r="31">
      <c r="A31" s="41" t="s">
        <v>38</v>
      </c>
      <c r="B31" s="25">
        <v>0.0027605035643865072</v>
      </c>
      <c r="C31" s="25">
        <v>0.037474262182567</v>
      </c>
      <c r="D31" s="42">
        <f t="shared" ref="D31:E31" si="31">B31-AVERAGE(B$2:B$53)</f>
        <v>-0.007489120361</v>
      </c>
      <c r="E31" s="42">
        <f t="shared" si="31"/>
        <v>0.04170279174</v>
      </c>
      <c r="F31" s="43">
        <f t="shared" si="3"/>
        <v>-0.0003123172267</v>
      </c>
    </row>
    <row r="32">
      <c r="A32" s="41" t="s">
        <v>39</v>
      </c>
      <c r="B32" s="25">
        <v>0.08928394409014295</v>
      </c>
      <c r="C32" s="25">
        <v>-0.005867903930131146</v>
      </c>
      <c r="D32" s="42">
        <f t="shared" ref="D32:E32" si="32">B32-AVERAGE(B$2:B$53)</f>
        <v>0.07903432016</v>
      </c>
      <c r="E32" s="42">
        <f t="shared" si="32"/>
        <v>-0.001639374374</v>
      </c>
      <c r="F32" s="43">
        <f t="shared" si="3"/>
        <v>-0.0001295668391</v>
      </c>
    </row>
    <row r="33">
      <c r="A33" s="41" t="s">
        <v>40</v>
      </c>
      <c r="B33" s="25">
        <v>-0.04249193191166234</v>
      </c>
      <c r="C33" s="25">
        <v>-0.021628838451268395</v>
      </c>
      <c r="D33" s="42">
        <f t="shared" ref="D33:E33" si="33">B33-AVERAGE(B$2:B$53)</f>
        <v>-0.05274155584</v>
      </c>
      <c r="E33" s="42">
        <f t="shared" si="33"/>
        <v>-0.01740030889</v>
      </c>
      <c r="F33" s="43">
        <f t="shared" si="3"/>
        <v>0.0009177193632</v>
      </c>
    </row>
    <row r="34">
      <c r="A34" s="41" t="s">
        <v>41</v>
      </c>
      <c r="B34" s="25">
        <v>-0.04122554224177155</v>
      </c>
      <c r="C34" s="25">
        <v>0.052409723197976765</v>
      </c>
      <c r="D34" s="42">
        <f t="shared" ref="D34:E34" si="34">B34-AVERAGE(B$2:B$53)</f>
        <v>-0.05147516617</v>
      </c>
      <c r="E34" s="42">
        <f t="shared" si="34"/>
        <v>0.05663825275</v>
      </c>
      <c r="F34" s="43">
        <f t="shared" si="3"/>
        <v>-0.002915463472</v>
      </c>
    </row>
    <row r="35">
      <c r="A35" s="41" t="s">
        <v>42</v>
      </c>
      <c r="B35" s="25">
        <v>0.05148161143185215</v>
      </c>
      <c r="C35" s="25">
        <v>-0.0021031968592258865</v>
      </c>
      <c r="D35" s="42">
        <f t="shared" ref="D35:E35" si="35">B35-AVERAGE(B$2:B$53)</f>
        <v>0.04123198751</v>
      </c>
      <c r="E35" s="42">
        <f t="shared" si="35"/>
        <v>0.002125332697</v>
      </c>
      <c r="F35" s="43">
        <f t="shared" si="3"/>
        <v>0.00008763169122</v>
      </c>
    </row>
    <row r="36">
      <c r="A36" s="41" t="s">
        <v>43</v>
      </c>
      <c r="B36" s="25">
        <v>-0.005834786744886689</v>
      </c>
      <c r="C36" s="25">
        <v>-0.049320181284990716</v>
      </c>
      <c r="D36" s="42">
        <f t="shared" ref="D36:E36" si="36">B36-AVERAGE(B$2:B$53)</f>
        <v>-0.01608441067</v>
      </c>
      <c r="E36" s="42">
        <f t="shared" si="36"/>
        <v>-0.04509165173</v>
      </c>
      <c r="F36" s="43">
        <f t="shared" si="3"/>
        <v>0.0007252726442</v>
      </c>
    </row>
    <row r="37">
      <c r="A37" s="41" t="s">
        <v>44</v>
      </c>
      <c r="B37" s="25">
        <v>-0.02558477273429527</v>
      </c>
      <c r="C37" s="25">
        <v>0.060503251342945985</v>
      </c>
      <c r="D37" s="42">
        <f t="shared" ref="D37:E37" si="37">B37-AVERAGE(B$2:B$53)</f>
        <v>-0.03583439666</v>
      </c>
      <c r="E37" s="42">
        <f t="shared" si="37"/>
        <v>0.0647317809</v>
      </c>
      <c r="F37" s="43">
        <f t="shared" si="3"/>
        <v>-0.002319624313</v>
      </c>
    </row>
    <row r="38">
      <c r="A38" s="41" t="s">
        <v>45</v>
      </c>
      <c r="B38" s="25">
        <v>0.00456295008691332</v>
      </c>
      <c r="C38" s="25">
        <v>0.20490546755237604</v>
      </c>
      <c r="D38" s="42">
        <f t="shared" ref="D38:E38" si="38">B38-AVERAGE(B$2:B$53)</f>
        <v>-0.005686673839</v>
      </c>
      <c r="E38" s="42">
        <f t="shared" si="38"/>
        <v>0.2091339971</v>
      </c>
      <c r="F38" s="43">
        <f t="shared" si="3"/>
        <v>-0.00118927683</v>
      </c>
    </row>
    <row r="39">
      <c r="A39" s="41" t="s">
        <v>46</v>
      </c>
      <c r="B39" s="25">
        <v>-0.009683071531769616</v>
      </c>
      <c r="C39" s="25">
        <v>-0.01228129205921935</v>
      </c>
      <c r="D39" s="42">
        <f t="shared" ref="D39:E39" si="39">B39-AVERAGE(B$2:B$53)</f>
        <v>-0.01993269546</v>
      </c>
      <c r="E39" s="42">
        <f t="shared" si="39"/>
        <v>-0.008052762503</v>
      </c>
      <c r="F39" s="43">
        <f t="shared" si="3"/>
        <v>0.0001605132626</v>
      </c>
    </row>
    <row r="40">
      <c r="A40" s="41" t="s">
        <v>47</v>
      </c>
      <c r="B40" s="25">
        <v>0.10222267398522744</v>
      </c>
      <c r="C40" s="25">
        <v>-0.029709435194253953</v>
      </c>
      <c r="D40" s="42">
        <f t="shared" ref="D40:E40" si="40">B40-AVERAGE(B$2:B$53)</f>
        <v>0.09197305006</v>
      </c>
      <c r="E40" s="42">
        <f t="shared" si="40"/>
        <v>-0.02548090564</v>
      </c>
      <c r="F40" s="43">
        <f t="shared" si="3"/>
        <v>-0.00234355661</v>
      </c>
    </row>
    <row r="41">
      <c r="A41" s="41" t="s">
        <v>48</v>
      </c>
      <c r="B41" s="25">
        <v>-0.148126767880852</v>
      </c>
      <c r="C41" s="25">
        <v>0.036372864151581696</v>
      </c>
      <c r="D41" s="42">
        <f t="shared" ref="D41:E41" si="41">B41-AVERAGE(B$2:B$53)</f>
        <v>-0.1583763918</v>
      </c>
      <c r="E41" s="42">
        <f t="shared" si="41"/>
        <v>0.04060139371</v>
      </c>
      <c r="F41" s="43">
        <f t="shared" si="3"/>
        <v>-0.006430302238</v>
      </c>
    </row>
    <row r="42">
      <c r="A42" s="41" t="s">
        <v>49</v>
      </c>
      <c r="B42" s="25">
        <v>0.02098190605292638</v>
      </c>
      <c r="C42" s="25">
        <v>0.009564474807856493</v>
      </c>
      <c r="D42" s="42">
        <f t="shared" ref="D42:E42" si="42">B42-AVERAGE(B$2:B$53)</f>
        <v>0.01073228213</v>
      </c>
      <c r="E42" s="42">
        <f t="shared" si="42"/>
        <v>0.01379300436</v>
      </c>
      <c r="F42" s="43">
        <f t="shared" si="3"/>
        <v>0.0001480304142</v>
      </c>
    </row>
    <row r="43">
      <c r="A43" s="41" t="s">
        <v>50</v>
      </c>
      <c r="B43" s="25">
        <v>-0.030401737242128246</v>
      </c>
      <c r="C43" s="25">
        <v>-0.048895386614684955</v>
      </c>
      <c r="D43" s="42">
        <f t="shared" ref="D43:E43" si="43">B43-AVERAGE(B$2:B$53)</f>
        <v>-0.04065136117</v>
      </c>
      <c r="E43" s="42">
        <f t="shared" si="43"/>
        <v>-0.04466685706</v>
      </c>
      <c r="F43" s="43">
        <f t="shared" si="3"/>
        <v>0.001815768539</v>
      </c>
    </row>
    <row r="44">
      <c r="A44" s="41" t="s">
        <v>51</v>
      </c>
      <c r="B44" s="25">
        <v>0.17340575336954345</v>
      </c>
      <c r="C44" s="25">
        <v>0.08246878846492</v>
      </c>
      <c r="D44" s="42">
        <f t="shared" ref="D44:E44" si="44">B44-AVERAGE(B$2:B$53)</f>
        <v>0.1631561294</v>
      </c>
      <c r="E44" s="42">
        <f t="shared" si="44"/>
        <v>0.08669731802</v>
      </c>
      <c r="F44" s="43">
        <f t="shared" si="3"/>
        <v>0.01414519884</v>
      </c>
    </row>
    <row r="45">
      <c r="A45" s="41" t="s">
        <v>52</v>
      </c>
      <c r="B45" s="25">
        <v>0.03847359075241119</v>
      </c>
      <c r="C45" s="25">
        <v>-0.005073477956612948</v>
      </c>
      <c r="D45" s="42">
        <f t="shared" ref="D45:E45" si="45">B45-AVERAGE(B$2:B$53)</f>
        <v>0.02822396683</v>
      </c>
      <c r="E45" s="42">
        <f t="shared" si="45"/>
        <v>-0.0008449484002</v>
      </c>
      <c r="F45" s="43">
        <f t="shared" si="3"/>
        <v>-0.00002384779562</v>
      </c>
    </row>
    <row r="46">
      <c r="A46" s="41" t="s">
        <v>53</v>
      </c>
      <c r="B46" s="25">
        <v>0.00793121600280755</v>
      </c>
      <c r="C46" s="25">
        <v>0.01690090731186622</v>
      </c>
      <c r="D46" s="42">
        <f t="shared" ref="D46:E46" si="46">B46-AVERAGE(B$2:B$53)</f>
        <v>-0.002318407923</v>
      </c>
      <c r="E46" s="42">
        <f t="shared" si="46"/>
        <v>0.02112943687</v>
      </c>
      <c r="F46" s="43">
        <f t="shared" si="3"/>
        <v>-0.00004898665384</v>
      </c>
    </row>
    <row r="47">
      <c r="A47" s="41" t="s">
        <v>54</v>
      </c>
      <c r="B47" s="25">
        <v>0.18055267846045475</v>
      </c>
      <c r="C47" s="25">
        <v>0.03346203346203347</v>
      </c>
      <c r="D47" s="42">
        <f t="shared" ref="D47:E47" si="47">B47-AVERAGE(B$2:B$53)</f>
        <v>0.1703030545</v>
      </c>
      <c r="E47" s="42">
        <f t="shared" si="47"/>
        <v>0.03769056302</v>
      </c>
      <c r="F47" s="43">
        <f t="shared" si="3"/>
        <v>0.006418818009</v>
      </c>
    </row>
    <row r="48">
      <c r="A48" s="41" t="s">
        <v>55</v>
      </c>
      <c r="B48" s="25">
        <v>-0.04335935951805314</v>
      </c>
      <c r="C48" s="25">
        <v>0.02506596306068598</v>
      </c>
      <c r="D48" s="42">
        <f t="shared" ref="D48:E48" si="48">B48-AVERAGE(B$2:B$53)</f>
        <v>-0.05360898344</v>
      </c>
      <c r="E48" s="42">
        <f t="shared" si="48"/>
        <v>0.02929449262</v>
      </c>
      <c r="F48" s="43">
        <f t="shared" si="3"/>
        <v>-0.00157044797</v>
      </c>
    </row>
    <row r="49">
      <c r="A49" s="41" t="s">
        <v>56</v>
      </c>
      <c r="B49" s="25">
        <v>0.053794428434197794</v>
      </c>
      <c r="C49" s="25">
        <v>-0.04995523724261408</v>
      </c>
      <c r="D49" s="42">
        <f t="shared" ref="D49:E49" si="49">B49-AVERAGE(B$2:B$53)</f>
        <v>0.04354480451</v>
      </c>
      <c r="E49" s="42">
        <f t="shared" si="49"/>
        <v>-0.04572670769</v>
      </c>
      <c r="F49" s="43">
        <f t="shared" si="3"/>
        <v>-0.001991160547</v>
      </c>
    </row>
    <row r="50">
      <c r="A50" s="41" t="s">
        <v>57</v>
      </c>
      <c r="B50" s="25">
        <v>-0.09151963574274335</v>
      </c>
      <c r="C50" s="25">
        <v>-0.09540006478781993</v>
      </c>
      <c r="D50" s="42">
        <f t="shared" ref="D50:E50" si="50">B50-AVERAGE(B$2:B$53)</f>
        <v>-0.1017692597</v>
      </c>
      <c r="E50" s="42">
        <f t="shared" si="50"/>
        <v>-0.09117153523</v>
      </c>
      <c r="F50" s="43">
        <f t="shared" si="3"/>
        <v>0.009278459643</v>
      </c>
    </row>
    <row r="51">
      <c r="A51" s="41" t="s">
        <v>58</v>
      </c>
      <c r="B51" s="25">
        <v>0.05966788629327335</v>
      </c>
      <c r="C51" s="25">
        <v>-0.0684972842486421</v>
      </c>
      <c r="D51" s="42">
        <f t="shared" ref="D51:E51" si="51">B51-AVERAGE(B$2:B$53)</f>
        <v>0.04941826237</v>
      </c>
      <c r="E51" s="42">
        <f t="shared" si="51"/>
        <v>-0.06426875469</v>
      </c>
      <c r="F51" s="43">
        <f t="shared" si="3"/>
        <v>-0.003176050181</v>
      </c>
    </row>
    <row r="52">
      <c r="A52" s="41" t="s">
        <v>59</v>
      </c>
      <c r="B52" s="25">
        <v>-0.005080406432514506</v>
      </c>
      <c r="C52" s="25">
        <v>-0.05192390215991982</v>
      </c>
      <c r="D52" s="42">
        <f t="shared" ref="D52:E52" si="52">B52-AVERAGE(B$2:B$53)</f>
        <v>-0.01533003036</v>
      </c>
      <c r="E52" s="42">
        <f t="shared" si="52"/>
        <v>-0.0476953726</v>
      </c>
      <c r="F52" s="43">
        <f t="shared" si="3"/>
        <v>0.00073117151</v>
      </c>
    </row>
    <row r="53">
      <c r="A53" s="41" t="s">
        <v>60</v>
      </c>
      <c r="B53" s="25">
        <v>-0.04831156965013139</v>
      </c>
      <c r="C53" s="25">
        <v>-0.08350812794965923</v>
      </c>
      <c r="D53" s="42">
        <f t="shared" ref="D53:E53" si="53">B53-AVERAGE(B$2:B$53)</f>
        <v>-0.05856119358</v>
      </c>
      <c r="E53" s="42">
        <f t="shared" si="53"/>
        <v>-0.07927959839</v>
      </c>
      <c r="F53" s="43">
        <f t="shared" si="3"/>
        <v>0.004642707908</v>
      </c>
    </row>
    <row r="54">
      <c r="A54" s="41" t="s">
        <v>61</v>
      </c>
      <c r="B54" s="25" t="e">
        <v>#DIV/0!</v>
      </c>
      <c r="C54" s="25" t="e">
        <v>#DIV/0!</v>
      </c>
      <c r="D54" s="42" t="str">
        <f t="shared" ref="D54:E54" si="54">B54-AVERAGE(B$2:B$53)</f>
        <v>#DIV/0!</v>
      </c>
      <c r="E54" s="42" t="str">
        <f t="shared" si="54"/>
        <v>#DIV/0!</v>
      </c>
      <c r="F54" s="43" t="str">
        <f t="shared" si="3"/>
        <v>#DIV/0!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8" t="s">
        <v>66</v>
      </c>
      <c r="C1" s="49" t="s">
        <v>69</v>
      </c>
      <c r="E1" s="50" t="s">
        <v>97</v>
      </c>
      <c r="G1" s="51"/>
      <c r="H1" s="51"/>
      <c r="I1" s="51"/>
      <c r="J1" s="51"/>
      <c r="K1" s="51"/>
      <c r="L1" s="51"/>
      <c r="M1" s="51"/>
    </row>
    <row r="2">
      <c r="A2" s="41" t="s">
        <v>9</v>
      </c>
      <c r="B2" s="25">
        <v>0.007552607388636279</v>
      </c>
      <c r="C2" s="49">
        <v>-0.020186425697206523</v>
      </c>
      <c r="E2" s="51"/>
      <c r="F2" s="51"/>
      <c r="G2" s="51"/>
      <c r="H2" s="51"/>
      <c r="I2" s="51"/>
      <c r="J2" s="51"/>
      <c r="K2" s="51"/>
      <c r="L2" s="51"/>
      <c r="M2" s="51"/>
    </row>
    <row r="3">
      <c r="A3" s="41" t="s">
        <v>10</v>
      </c>
      <c r="B3" s="25">
        <v>-0.022606964207663505</v>
      </c>
      <c r="C3" s="49">
        <v>-0.004433020575988711</v>
      </c>
      <c r="E3" s="52" t="s">
        <v>98</v>
      </c>
      <c r="F3" s="53"/>
      <c r="G3" s="51"/>
      <c r="H3" s="51"/>
      <c r="I3" s="51"/>
      <c r="J3" s="51"/>
      <c r="K3" s="51"/>
      <c r="L3" s="51"/>
      <c r="M3" s="51"/>
    </row>
    <row r="4">
      <c r="A4" s="41" t="s">
        <v>11</v>
      </c>
      <c r="B4" s="25">
        <v>-0.013463012648524342</v>
      </c>
      <c r="C4" s="49">
        <v>0.0107282294033062</v>
      </c>
      <c r="E4" s="50" t="s">
        <v>99</v>
      </c>
      <c r="F4" s="54">
        <v>0.53</v>
      </c>
      <c r="G4" s="51"/>
      <c r="H4" s="51"/>
      <c r="I4" s="51"/>
      <c r="J4" s="51"/>
      <c r="K4" s="51"/>
      <c r="L4" s="51"/>
      <c r="M4" s="51"/>
    </row>
    <row r="5">
      <c r="A5" s="41" t="s">
        <v>12</v>
      </c>
      <c r="B5" s="25">
        <v>0.015397338911726788</v>
      </c>
      <c r="C5" s="49">
        <v>-0.013866970558112035</v>
      </c>
      <c r="E5" s="50" t="s">
        <v>100</v>
      </c>
      <c r="F5" s="54">
        <v>0.28</v>
      </c>
      <c r="G5" s="51"/>
      <c r="H5" s="51"/>
      <c r="I5" s="51"/>
      <c r="J5" s="51"/>
      <c r="K5" s="51"/>
      <c r="L5" s="51"/>
      <c r="M5" s="51"/>
    </row>
    <row r="6">
      <c r="A6" s="41" t="s">
        <v>13</v>
      </c>
      <c r="B6" s="25">
        <v>-0.04484096559094819</v>
      </c>
      <c r="C6" s="49">
        <v>-9.698761930700961E-4</v>
      </c>
      <c r="E6" s="50" t="s">
        <v>101</v>
      </c>
      <c r="F6" s="54">
        <v>0.27</v>
      </c>
      <c r="G6" s="51"/>
      <c r="H6" s="51"/>
      <c r="I6" s="51"/>
      <c r="J6" s="51"/>
      <c r="K6" s="51"/>
      <c r="L6" s="51"/>
      <c r="M6" s="51"/>
    </row>
    <row r="7">
      <c r="A7" s="41" t="s">
        <v>14</v>
      </c>
      <c r="B7" s="25">
        <v>-0.0415311985035407</v>
      </c>
      <c r="C7" s="49">
        <v>0.003386541461996906</v>
      </c>
      <c r="E7" s="50" t="s">
        <v>102</v>
      </c>
      <c r="F7" s="54">
        <v>0.05</v>
      </c>
      <c r="G7" s="51"/>
      <c r="H7" s="51"/>
      <c r="I7" s="51"/>
      <c r="J7" s="51"/>
      <c r="K7" s="51"/>
      <c r="L7" s="51"/>
      <c r="M7" s="51"/>
    </row>
    <row r="8">
      <c r="A8" s="41" t="s">
        <v>15</v>
      </c>
      <c r="B8" s="25">
        <v>0.02642285714285708</v>
      </c>
      <c r="C8" s="49">
        <v>-0.003515845078033153</v>
      </c>
      <c r="E8" s="55" t="s">
        <v>103</v>
      </c>
      <c r="F8" s="56">
        <v>51.0</v>
      </c>
      <c r="G8" s="51"/>
      <c r="H8" s="51"/>
      <c r="I8" s="51"/>
      <c r="J8" s="51"/>
      <c r="K8" s="51"/>
      <c r="L8" s="51"/>
      <c r="M8" s="51"/>
    </row>
    <row r="9">
      <c r="A9" s="41" t="s">
        <v>16</v>
      </c>
      <c r="B9" s="25">
        <v>-0.01687602525785936</v>
      </c>
      <c r="C9" s="49">
        <v>-0.003771022697910409</v>
      </c>
      <c r="E9" s="51"/>
      <c r="F9" s="51"/>
      <c r="G9" s="51"/>
      <c r="H9" s="51"/>
      <c r="I9" s="51"/>
      <c r="J9" s="51"/>
      <c r="K9" s="51"/>
      <c r="L9" s="51"/>
      <c r="M9" s="51"/>
    </row>
    <row r="10">
      <c r="A10" s="41" t="s">
        <v>17</v>
      </c>
      <c r="B10" s="25">
        <v>0.01584221699728361</v>
      </c>
      <c r="C10" s="49">
        <v>0.015719249336951124</v>
      </c>
      <c r="E10" s="50" t="s">
        <v>104</v>
      </c>
      <c r="H10" s="51"/>
      <c r="I10" s="51"/>
      <c r="J10" s="51"/>
      <c r="K10" s="51"/>
      <c r="L10" s="51"/>
      <c r="M10" s="51"/>
    </row>
    <row r="11">
      <c r="A11" s="41" t="s">
        <v>18</v>
      </c>
      <c r="B11" s="25">
        <v>-0.0781161219722637</v>
      </c>
      <c r="C11" s="49">
        <v>-0.01031322060508455</v>
      </c>
      <c r="E11" s="57"/>
      <c r="F11" s="52" t="s">
        <v>105</v>
      </c>
      <c r="G11" s="52" t="s">
        <v>106</v>
      </c>
      <c r="H11" s="52" t="s">
        <v>107</v>
      </c>
      <c r="I11" s="52" t="s">
        <v>108</v>
      </c>
      <c r="J11" s="52" t="s">
        <v>109</v>
      </c>
      <c r="K11" s="51"/>
      <c r="L11" s="51"/>
      <c r="M11" s="51"/>
    </row>
    <row r="12">
      <c r="A12" s="41" t="s">
        <v>19</v>
      </c>
      <c r="B12" s="25">
        <v>-0.012489609310058158</v>
      </c>
      <c r="C12" s="49">
        <v>0.013964445094739819</v>
      </c>
      <c r="E12" s="50" t="s">
        <v>110</v>
      </c>
      <c r="F12" s="54">
        <v>1.0</v>
      </c>
      <c r="G12" s="54">
        <v>0.06</v>
      </c>
      <c r="H12" s="54">
        <v>0.06</v>
      </c>
      <c r="I12" s="54">
        <v>19.51</v>
      </c>
      <c r="J12" s="54">
        <v>0.0</v>
      </c>
      <c r="K12" s="51"/>
      <c r="L12" s="51"/>
      <c r="M12" s="51"/>
    </row>
    <row r="13">
      <c r="A13" s="41" t="s">
        <v>20</v>
      </c>
      <c r="B13" s="25">
        <v>0.04845738190692006</v>
      </c>
      <c r="C13" s="49">
        <v>0.001038461144123426</v>
      </c>
      <c r="E13" s="50" t="s">
        <v>111</v>
      </c>
      <c r="F13" s="54">
        <v>49.0</v>
      </c>
      <c r="G13" s="54">
        <v>0.14</v>
      </c>
      <c r="H13" s="54">
        <v>0.0</v>
      </c>
      <c r="I13" s="51"/>
      <c r="J13" s="51"/>
      <c r="K13" s="51"/>
      <c r="L13" s="51"/>
      <c r="M13" s="51"/>
    </row>
    <row r="14">
      <c r="A14" s="41" t="s">
        <v>21</v>
      </c>
      <c r="B14" s="25">
        <v>0.008703296703296726</v>
      </c>
      <c r="C14" s="49">
        <v>-0.0062572775966464045</v>
      </c>
      <c r="E14" s="55" t="s">
        <v>112</v>
      </c>
      <c r="F14" s="56">
        <v>50.0</v>
      </c>
      <c r="G14" s="56">
        <v>0.2</v>
      </c>
      <c r="H14" s="58"/>
      <c r="I14" s="58"/>
      <c r="J14" s="58"/>
      <c r="K14" s="51"/>
      <c r="L14" s="51"/>
      <c r="M14" s="51"/>
    </row>
    <row r="15">
      <c r="A15" s="41" t="s">
        <v>22</v>
      </c>
      <c r="B15" s="25">
        <v>0.0577213659715925</v>
      </c>
      <c r="C15" s="49">
        <v>0.003111362239363036</v>
      </c>
      <c r="E15" s="51"/>
      <c r="F15" s="51"/>
      <c r="G15" s="51"/>
      <c r="H15" s="51"/>
      <c r="I15" s="51"/>
      <c r="J15" s="51"/>
      <c r="K15" s="51"/>
      <c r="L15" s="51"/>
      <c r="M15" s="51"/>
    </row>
    <row r="16">
      <c r="A16" s="41" t="s">
        <v>23</v>
      </c>
      <c r="B16" s="25">
        <v>0.09992584827021922</v>
      </c>
      <c r="C16" s="49">
        <v>0.037270993898218974</v>
      </c>
      <c r="E16" s="57"/>
      <c r="F16" s="52" t="s">
        <v>113</v>
      </c>
      <c r="G16" s="52" t="s">
        <v>102</v>
      </c>
      <c r="H16" s="52" t="s">
        <v>114</v>
      </c>
      <c r="I16" s="52" t="s">
        <v>115</v>
      </c>
      <c r="J16" s="52" t="s">
        <v>116</v>
      </c>
      <c r="K16" s="52" t="s">
        <v>117</v>
      </c>
      <c r="L16" s="52" t="s">
        <v>118</v>
      </c>
      <c r="M16" s="52" t="s">
        <v>119</v>
      </c>
    </row>
    <row r="17">
      <c r="A17" s="41" t="s">
        <v>24</v>
      </c>
      <c r="B17" s="25">
        <v>-0.032793372078644856</v>
      </c>
      <c r="C17" s="49">
        <v>-0.019471021411886613</v>
      </c>
      <c r="E17" s="50" t="s">
        <v>120</v>
      </c>
      <c r="F17" s="54">
        <v>0.01</v>
      </c>
      <c r="G17" s="54">
        <v>0.01</v>
      </c>
      <c r="H17" s="54">
        <v>0.79</v>
      </c>
      <c r="I17" s="54">
        <v>0.44</v>
      </c>
      <c r="J17" s="54">
        <v>-0.01</v>
      </c>
      <c r="K17" s="54">
        <v>0.02</v>
      </c>
      <c r="L17" s="54">
        <v>-0.01</v>
      </c>
      <c r="M17" s="54">
        <v>0.02</v>
      </c>
    </row>
    <row r="18">
      <c r="A18" s="41" t="s">
        <v>25</v>
      </c>
      <c r="B18" s="25">
        <v>-0.058600298007077556</v>
      </c>
      <c r="C18" s="49">
        <v>7.891451670429817E-4</v>
      </c>
      <c r="E18" s="55" t="s">
        <v>69</v>
      </c>
      <c r="F18" s="56">
        <v>1.45</v>
      </c>
      <c r="G18" s="56">
        <v>0.33</v>
      </c>
      <c r="H18" s="56">
        <v>4.42</v>
      </c>
      <c r="I18" s="56">
        <v>0.0</v>
      </c>
      <c r="J18" s="56">
        <v>0.79</v>
      </c>
      <c r="K18" s="56">
        <v>2.11</v>
      </c>
      <c r="L18" s="56">
        <v>0.79</v>
      </c>
      <c r="M18" s="56">
        <v>2.11</v>
      </c>
    </row>
    <row r="19">
      <c r="A19" s="41" t="s">
        <v>26</v>
      </c>
      <c r="B19" s="25">
        <v>-0.059225512528473856</v>
      </c>
      <c r="C19" s="49">
        <v>-0.01628607350662259</v>
      </c>
      <c r="E19" s="51"/>
      <c r="F19" s="51"/>
      <c r="G19" s="51"/>
      <c r="H19" s="51"/>
      <c r="I19" s="51"/>
      <c r="J19" s="51"/>
      <c r="K19" s="51"/>
      <c r="L19" s="51"/>
      <c r="M19" s="51"/>
    </row>
    <row r="20">
      <c r="A20" s="41" t="s">
        <v>27</v>
      </c>
      <c r="B20" s="25">
        <v>0.052660702757539424</v>
      </c>
      <c r="C20" s="49">
        <v>0.0071425521482870735</v>
      </c>
      <c r="E20" s="51"/>
      <c r="F20" s="51"/>
      <c r="G20" s="51"/>
      <c r="H20" s="51"/>
      <c r="I20" s="51"/>
      <c r="J20" s="51"/>
      <c r="K20" s="51"/>
      <c r="L20" s="51"/>
      <c r="M20" s="51"/>
    </row>
    <row r="21">
      <c r="A21" s="41" t="s">
        <v>28</v>
      </c>
      <c r="B21" s="25">
        <v>-0.012724499783751786</v>
      </c>
      <c r="C21" s="49">
        <v>0.019159635114593065</v>
      </c>
      <c r="E21" s="51"/>
      <c r="F21" s="51"/>
      <c r="G21" s="51"/>
      <c r="H21" s="51"/>
      <c r="I21" s="51"/>
      <c r="J21" s="51"/>
      <c r="K21" s="51"/>
      <c r="L21" s="51"/>
      <c r="M21" s="51"/>
    </row>
    <row r="22">
      <c r="A22" s="41" t="s">
        <v>29</v>
      </c>
      <c r="B22" s="25">
        <v>0.06244407361725801</v>
      </c>
      <c r="C22" s="49">
        <v>0.017016379982632612</v>
      </c>
    </row>
    <row r="23">
      <c r="A23" s="41" t="s">
        <v>30</v>
      </c>
      <c r="B23" s="25">
        <v>-0.0380150291975897</v>
      </c>
      <c r="C23" s="49">
        <v>-0.024312850759180882</v>
      </c>
    </row>
    <row r="24">
      <c r="A24" s="41" t="s">
        <v>31</v>
      </c>
      <c r="B24" s="25">
        <v>-0.024000908265213394</v>
      </c>
      <c r="C24" s="49">
        <v>0.0108508812860304</v>
      </c>
    </row>
    <row r="25">
      <c r="A25" s="41" t="s">
        <v>32</v>
      </c>
      <c r="B25" s="25">
        <v>0.03363297110803387</v>
      </c>
      <c r="C25" s="49">
        <v>-0.0031000726251282362</v>
      </c>
    </row>
    <row r="26">
      <c r="A26" s="41" t="s">
        <v>33</v>
      </c>
      <c r="B26" s="25">
        <v>0.07609738849320613</v>
      </c>
      <c r="C26" s="49">
        <v>0.01216076448637593</v>
      </c>
    </row>
    <row r="27">
      <c r="A27" s="41" t="s">
        <v>34</v>
      </c>
      <c r="B27" s="25">
        <v>0.12854862615437246</v>
      </c>
      <c r="C27" s="49">
        <v>0.015858983260047754</v>
      </c>
    </row>
    <row r="28">
      <c r="A28" s="41" t="s">
        <v>35</v>
      </c>
      <c r="B28" s="25">
        <v>0.050828166651690765</v>
      </c>
      <c r="C28" s="49">
        <v>0.003287793370545522</v>
      </c>
    </row>
    <row r="29">
      <c r="A29" s="41" t="s">
        <v>36</v>
      </c>
      <c r="B29" s="25">
        <v>-0.01805829240316459</v>
      </c>
      <c r="C29" s="49">
        <v>-0.0010283118212561781</v>
      </c>
    </row>
    <row r="30">
      <c r="A30" s="41" t="s">
        <v>37</v>
      </c>
      <c r="B30" s="25">
        <v>0.028587850919651547</v>
      </c>
      <c r="C30" s="49">
        <v>0.00265279543551733</v>
      </c>
    </row>
    <row r="31">
      <c r="A31" s="41" t="s">
        <v>38</v>
      </c>
      <c r="B31" s="25">
        <v>0.0027605035643865072</v>
      </c>
      <c r="C31" s="49">
        <v>0.00944525741652269</v>
      </c>
    </row>
    <row r="32">
      <c r="A32" s="41" t="s">
        <v>39</v>
      </c>
      <c r="B32" s="25">
        <v>0.08928394409014295</v>
      </c>
      <c r="C32" s="49">
        <v>0.0242769729448975</v>
      </c>
    </row>
    <row r="33">
      <c r="A33" s="41" t="s">
        <v>40</v>
      </c>
      <c r="B33" s="25">
        <v>-0.04249193191166234</v>
      </c>
      <c r="C33" s="49">
        <v>-0.02357778807383104</v>
      </c>
    </row>
    <row r="34">
      <c r="A34" s="41" t="s">
        <v>41</v>
      </c>
      <c r="B34" s="25">
        <v>-0.04122554224177155</v>
      </c>
      <c r="C34" s="49">
        <v>0.014586797399945173</v>
      </c>
    </row>
    <row r="35">
      <c r="A35" s="41" t="s">
        <v>42</v>
      </c>
      <c r="B35" s="25">
        <v>0.05148161143185215</v>
      </c>
      <c r="C35" s="49">
        <v>0.005917169216022922</v>
      </c>
    </row>
    <row r="36">
      <c r="A36" s="41" t="s">
        <v>43</v>
      </c>
      <c r="B36" s="25">
        <v>-0.005834786744886689</v>
      </c>
      <c r="C36" s="49">
        <v>-0.0031213421771362215</v>
      </c>
    </row>
    <row r="37">
      <c r="A37" s="41" t="s">
        <v>44</v>
      </c>
      <c r="B37" s="25">
        <v>-0.02558477273429527</v>
      </c>
      <c r="C37" s="49">
        <v>0.01721671712778261</v>
      </c>
    </row>
    <row r="38">
      <c r="A38" s="41" t="s">
        <v>45</v>
      </c>
      <c r="B38" s="25">
        <v>0.00456295008691332</v>
      </c>
      <c r="C38" s="49">
        <v>0.03438932679160289</v>
      </c>
    </row>
    <row r="39">
      <c r="A39" s="41" t="s">
        <v>46</v>
      </c>
      <c r="B39" s="25">
        <v>-0.009683071531769616</v>
      </c>
      <c r="C39" s="49">
        <v>-0.0015275298353514266</v>
      </c>
    </row>
    <row r="40">
      <c r="A40" s="41" t="s">
        <v>47</v>
      </c>
      <c r="B40" s="25">
        <v>0.10222267398522744</v>
      </c>
      <c r="C40" s="49">
        <v>-0.00389809944736641</v>
      </c>
    </row>
    <row r="41">
      <c r="A41" s="41" t="s">
        <v>48</v>
      </c>
      <c r="B41" s="25">
        <v>-0.148126767880852</v>
      </c>
      <c r="C41" s="49">
        <v>0.014999095013439545</v>
      </c>
    </row>
    <row r="42">
      <c r="A42" s="41" t="s">
        <v>49</v>
      </c>
      <c r="B42" s="25">
        <v>0.02098190605292638</v>
      </c>
      <c r="C42" s="49">
        <v>0.018761567651589983</v>
      </c>
    </row>
    <row r="43">
      <c r="A43" s="41" t="s">
        <v>50</v>
      </c>
      <c r="B43" s="25">
        <v>-0.030401737242128246</v>
      </c>
      <c r="C43" s="49">
        <v>-0.02610776754755495</v>
      </c>
    </row>
    <row r="44">
      <c r="A44" s="41" t="s">
        <v>51</v>
      </c>
      <c r="B44" s="25">
        <v>0.17340575336954345</v>
      </c>
      <c r="C44" s="49">
        <v>0.05273405407506493</v>
      </c>
    </row>
    <row r="45">
      <c r="A45" s="41" t="s">
        <v>52</v>
      </c>
      <c r="B45" s="25">
        <v>0.03847359075241119</v>
      </c>
      <c r="C45" s="49">
        <v>-0.004705741673070585</v>
      </c>
    </row>
    <row r="46">
      <c r="A46" s="41" t="s">
        <v>53</v>
      </c>
      <c r="B46" s="25">
        <v>0.00793121600280755</v>
      </c>
      <c r="C46" s="49">
        <v>0.02922241869539799</v>
      </c>
    </row>
    <row r="47">
      <c r="A47" s="41" t="s">
        <v>54</v>
      </c>
      <c r="B47" s="25">
        <v>0.18055267846045475</v>
      </c>
      <c r="C47" s="49">
        <v>0.04590644935355037</v>
      </c>
    </row>
    <row r="48">
      <c r="A48" s="41" t="s">
        <v>55</v>
      </c>
      <c r="B48" s="25">
        <v>-0.04335935951805314</v>
      </c>
      <c r="C48" s="49">
        <v>-0.01503907997971421</v>
      </c>
    </row>
    <row r="49">
      <c r="A49" s="41" t="s">
        <v>56</v>
      </c>
      <c r="B49" s="25">
        <v>0.053794428434197794</v>
      </c>
      <c r="C49" s="49">
        <v>0.05701132027874989</v>
      </c>
    </row>
    <row r="50">
      <c r="A50" s="41" t="s">
        <v>57</v>
      </c>
      <c r="B50" s="25">
        <v>-0.09151963574274335</v>
      </c>
      <c r="C50" s="49">
        <v>-0.09081982605080863</v>
      </c>
    </row>
    <row r="51">
      <c r="A51" s="41" t="s">
        <v>58</v>
      </c>
      <c r="B51" s="25">
        <v>0.05966788629327335</v>
      </c>
      <c r="C51" s="49">
        <v>-0.01528347295838084</v>
      </c>
    </row>
    <row r="52">
      <c r="A52" s="41" t="s">
        <v>59</v>
      </c>
      <c r="B52" s="25">
        <v>-0.005080406432514506</v>
      </c>
      <c r="C52" s="49">
        <v>0.0050754219764708175</v>
      </c>
    </row>
    <row r="53">
      <c r="A53" s="41" t="s">
        <v>60</v>
      </c>
      <c r="B53" s="25">
        <v>-0.04831156965013139</v>
      </c>
      <c r="C53" s="49" t="e">
        <v>#DIV/0!</v>
      </c>
    </row>
    <row r="54">
      <c r="A54" s="41" t="s">
        <v>61</v>
      </c>
      <c r="B54" s="25" t="e">
        <v>#DIV/0!</v>
      </c>
      <c r="C54" s="49"/>
    </row>
    <row r="55">
      <c r="A55" s="41"/>
      <c r="B55" s="25"/>
      <c r="C55" s="28"/>
    </row>
    <row r="56">
      <c r="A56" s="41"/>
      <c r="B56" s="25"/>
      <c r="C56" s="28"/>
    </row>
    <row r="57">
      <c r="A57" s="12"/>
      <c r="B57" s="25"/>
      <c r="C57" s="28"/>
    </row>
    <row r="58">
      <c r="A58" s="12"/>
      <c r="B58" s="25"/>
      <c r="C58" s="28"/>
    </row>
    <row r="59">
      <c r="A59" s="12"/>
      <c r="B59" s="25"/>
      <c r="C59" s="28"/>
    </row>
    <row r="60">
      <c r="A60" s="12"/>
      <c r="B60" s="25"/>
      <c r="C60" s="28"/>
    </row>
    <row r="61">
      <c r="A61" s="12"/>
      <c r="B61" s="25"/>
      <c r="C61" s="28"/>
    </row>
    <row r="62">
      <c r="A62" s="12"/>
      <c r="B62" s="25"/>
      <c r="C62" s="28"/>
    </row>
    <row r="63">
      <c r="A63" s="12"/>
      <c r="B63" s="25"/>
      <c r="C63" s="28"/>
    </row>
    <row r="64">
      <c r="A64" s="12"/>
      <c r="B64" s="25"/>
      <c r="C64" s="28"/>
    </row>
    <row r="65">
      <c r="A65" s="12"/>
      <c r="B65" s="25"/>
      <c r="C65" s="28"/>
    </row>
    <row r="66">
      <c r="A66" s="12"/>
      <c r="B66" s="25"/>
      <c r="C66" s="28"/>
    </row>
    <row r="67">
      <c r="A67" s="12"/>
      <c r="B67" s="25"/>
      <c r="C67" s="28"/>
    </row>
    <row r="68">
      <c r="A68" s="12"/>
      <c r="B68" s="25"/>
      <c r="C68" s="28"/>
    </row>
    <row r="69">
      <c r="A69" s="12"/>
      <c r="B69" s="25"/>
      <c r="C69" s="28"/>
    </row>
    <row r="70">
      <c r="A70" s="12"/>
      <c r="B70" s="25"/>
      <c r="C70" s="28"/>
    </row>
    <row r="71">
      <c r="A71" s="12"/>
      <c r="B71" s="25"/>
      <c r="C71" s="28"/>
    </row>
    <row r="72">
      <c r="A72" s="12"/>
      <c r="B72" s="25"/>
      <c r="C72" s="28"/>
    </row>
    <row r="73">
      <c r="A73" s="12"/>
      <c r="B73" s="25"/>
      <c r="C73" s="28"/>
    </row>
    <row r="74">
      <c r="A74" s="12"/>
      <c r="B74" s="25"/>
      <c r="C74" s="28"/>
    </row>
    <row r="75">
      <c r="A75" s="12"/>
      <c r="B75" s="25"/>
      <c r="C75" s="28"/>
    </row>
    <row r="76">
      <c r="A76" s="12"/>
      <c r="B76" s="25"/>
      <c r="C76" s="28"/>
    </row>
    <row r="77">
      <c r="A77" s="12"/>
      <c r="B77" s="25"/>
      <c r="C77" s="28"/>
    </row>
    <row r="78">
      <c r="A78" s="12"/>
      <c r="B78" s="25"/>
      <c r="C78" s="28"/>
    </row>
    <row r="79">
      <c r="A79" s="12"/>
      <c r="B79" s="25"/>
      <c r="C79" s="28"/>
    </row>
    <row r="80">
      <c r="A80" s="12"/>
      <c r="B80" s="25"/>
      <c r="C80" s="28"/>
    </row>
    <row r="81">
      <c r="A81" s="12"/>
      <c r="B81" s="25"/>
      <c r="C81" s="28"/>
    </row>
    <row r="82">
      <c r="A82" s="12"/>
      <c r="B82" s="25"/>
      <c r="C82" s="28"/>
    </row>
    <row r="83">
      <c r="A83" s="12"/>
      <c r="B83" s="25"/>
      <c r="C83" s="28"/>
    </row>
    <row r="84">
      <c r="A84" s="12"/>
      <c r="B84" s="25"/>
      <c r="C84" s="28"/>
    </row>
    <row r="85">
      <c r="A85" s="12"/>
      <c r="B85" s="25"/>
      <c r="C85" s="28"/>
    </row>
    <row r="86">
      <c r="A86" s="12"/>
      <c r="B86" s="25"/>
      <c r="C86" s="28"/>
    </row>
    <row r="87">
      <c r="A87" s="12"/>
      <c r="B87" s="25"/>
      <c r="C87" s="28"/>
    </row>
    <row r="88">
      <c r="A88" s="12"/>
      <c r="B88" s="25"/>
      <c r="C88" s="28"/>
    </row>
    <row r="89">
      <c r="A89" s="12"/>
      <c r="B89" s="25"/>
      <c r="C89" s="28"/>
    </row>
    <row r="90">
      <c r="A90" s="12"/>
      <c r="B90" s="25"/>
      <c r="C90" s="28"/>
    </row>
    <row r="91">
      <c r="A91" s="12"/>
      <c r="B91" s="25"/>
      <c r="C91" s="28"/>
    </row>
    <row r="92">
      <c r="A92" s="12"/>
      <c r="B92" s="25"/>
      <c r="C92" s="28"/>
    </row>
    <row r="93">
      <c r="A93" s="12"/>
      <c r="B93" s="25"/>
      <c r="C93" s="28"/>
    </row>
    <row r="94">
      <c r="A94" s="12"/>
      <c r="B94" s="25"/>
      <c r="C94" s="28"/>
    </row>
    <row r="95">
      <c r="A95" s="12"/>
      <c r="B95" s="25"/>
      <c r="C95" s="28"/>
    </row>
    <row r="96">
      <c r="A96" s="12"/>
      <c r="B96" s="25"/>
      <c r="C96" s="28"/>
    </row>
    <row r="97">
      <c r="A97" s="12"/>
      <c r="B97" s="25"/>
      <c r="C97" s="28"/>
    </row>
    <row r="98">
      <c r="A98" s="12"/>
      <c r="B98" s="25"/>
      <c r="C98" s="28"/>
    </row>
    <row r="99">
      <c r="A99" s="12"/>
      <c r="B99" s="25"/>
      <c r="C99" s="28"/>
    </row>
    <row r="100">
      <c r="A100" s="12"/>
      <c r="B100" s="25"/>
      <c r="C100" s="28"/>
    </row>
    <row r="101">
      <c r="A101" s="12"/>
      <c r="B101" s="25"/>
      <c r="C101" s="28"/>
    </row>
    <row r="102">
      <c r="A102" s="12"/>
      <c r="B102" s="25"/>
      <c r="C102" s="28"/>
    </row>
    <row r="103">
      <c r="A103" s="12"/>
      <c r="B103" s="25"/>
      <c r="C103" s="28"/>
    </row>
    <row r="104">
      <c r="A104" s="12"/>
      <c r="B104" s="25"/>
      <c r="C104" s="28"/>
    </row>
    <row r="105">
      <c r="A105" s="12"/>
      <c r="B105" s="25"/>
      <c r="C105" s="28"/>
    </row>
    <row r="106">
      <c r="A106" s="12"/>
      <c r="B106" s="25"/>
      <c r="C106" s="28"/>
    </row>
    <row r="107">
      <c r="A107" s="12"/>
      <c r="B107" s="25"/>
      <c r="C107" s="28"/>
    </row>
    <row r="108">
      <c r="A108" s="12"/>
      <c r="B108" s="25"/>
      <c r="C108" s="28"/>
    </row>
    <row r="109">
      <c r="A109" s="12"/>
      <c r="B109" s="25"/>
      <c r="C109" s="28"/>
    </row>
    <row r="110">
      <c r="A110" s="12"/>
      <c r="B110" s="25"/>
      <c r="C110" s="28"/>
    </row>
    <row r="111">
      <c r="A111" s="12"/>
      <c r="B111" s="25"/>
      <c r="C111" s="28"/>
    </row>
    <row r="112">
      <c r="A112" s="12"/>
      <c r="B112" s="25"/>
      <c r="C112" s="28"/>
    </row>
    <row r="113">
      <c r="A113" s="12"/>
      <c r="B113" s="25"/>
      <c r="C113" s="28"/>
    </row>
    <row r="114">
      <c r="A114" s="12"/>
      <c r="B114" s="25"/>
      <c r="C114" s="28"/>
    </row>
    <row r="115">
      <c r="A115" s="12"/>
      <c r="B115" s="25"/>
      <c r="C115" s="28"/>
    </row>
    <row r="116">
      <c r="A116" s="12"/>
      <c r="B116" s="25"/>
      <c r="C116" s="28"/>
    </row>
    <row r="117">
      <c r="A117" s="12"/>
      <c r="B117" s="25"/>
      <c r="C117" s="28"/>
    </row>
    <row r="118">
      <c r="A118" s="12"/>
      <c r="B118" s="25"/>
      <c r="C118" s="28"/>
    </row>
    <row r="119">
      <c r="A119" s="12"/>
      <c r="B119" s="25"/>
      <c r="C119" s="28"/>
    </row>
    <row r="120">
      <c r="A120" s="12"/>
      <c r="B120" s="25"/>
      <c r="C120" s="28"/>
    </row>
    <row r="121">
      <c r="A121" s="12"/>
      <c r="B121" s="25"/>
      <c r="C121" s="28"/>
    </row>
    <row r="122">
      <c r="A122" s="12"/>
      <c r="B122" s="25"/>
      <c r="C122" s="28"/>
    </row>
    <row r="123">
      <c r="A123" s="12"/>
      <c r="B123" s="25"/>
      <c r="C123" s="28"/>
    </row>
    <row r="124">
      <c r="A124" s="12"/>
      <c r="B124" s="25"/>
      <c r="C124" s="28"/>
    </row>
    <row r="125">
      <c r="A125" s="12"/>
      <c r="B125" s="25"/>
      <c r="C125" s="28"/>
    </row>
    <row r="126">
      <c r="A126" s="12"/>
      <c r="B126" s="25"/>
      <c r="C126" s="28"/>
    </row>
    <row r="127">
      <c r="A127" s="12"/>
      <c r="B127" s="25"/>
      <c r="C127" s="28"/>
    </row>
    <row r="128">
      <c r="A128" s="12"/>
      <c r="B128" s="25"/>
      <c r="C128" s="28"/>
    </row>
    <row r="129">
      <c r="A129" s="12"/>
      <c r="B129" s="25"/>
      <c r="C129" s="28"/>
    </row>
    <row r="130">
      <c r="A130" s="12"/>
      <c r="B130" s="25"/>
      <c r="C130" s="28"/>
    </row>
    <row r="131">
      <c r="A131" s="12"/>
      <c r="B131" s="25"/>
      <c r="C131" s="28"/>
    </row>
    <row r="132">
      <c r="A132" s="12"/>
      <c r="B132" s="25"/>
      <c r="C132" s="28"/>
    </row>
    <row r="133">
      <c r="A133" s="12"/>
      <c r="B133" s="25"/>
      <c r="C133" s="28"/>
    </row>
    <row r="134">
      <c r="A134" s="12"/>
      <c r="B134" s="25"/>
      <c r="C134" s="28"/>
    </row>
    <row r="135">
      <c r="A135" s="12"/>
      <c r="B135" s="25"/>
      <c r="C135" s="28"/>
    </row>
    <row r="136">
      <c r="A136" s="12"/>
      <c r="B136" s="25"/>
      <c r="C136" s="28"/>
    </row>
    <row r="137">
      <c r="A137" s="12"/>
      <c r="B137" s="25"/>
      <c r="C137" s="28"/>
    </row>
    <row r="138">
      <c r="A138" s="12"/>
      <c r="B138" s="25"/>
      <c r="C138" s="28"/>
    </row>
    <row r="139">
      <c r="A139" s="12"/>
      <c r="B139" s="25"/>
      <c r="C139" s="28"/>
    </row>
    <row r="140">
      <c r="A140" s="12"/>
      <c r="B140" s="25"/>
      <c r="C140" s="28"/>
    </row>
    <row r="141">
      <c r="A141" s="12"/>
      <c r="B141" s="25"/>
      <c r="C141" s="28"/>
    </row>
    <row r="142">
      <c r="A142" s="12"/>
      <c r="B142" s="25"/>
      <c r="C142" s="28"/>
    </row>
    <row r="143">
      <c r="A143" s="12"/>
      <c r="B143" s="25"/>
      <c r="C143" s="28"/>
    </row>
    <row r="144">
      <c r="A144" s="12"/>
      <c r="B144" s="25"/>
      <c r="C144" s="28"/>
    </row>
    <row r="145">
      <c r="A145" s="12"/>
      <c r="B145" s="25"/>
      <c r="C145" s="28"/>
    </row>
    <row r="146">
      <c r="A146" s="12"/>
      <c r="B146" s="25"/>
      <c r="C146" s="28"/>
    </row>
    <row r="147">
      <c r="A147" s="12"/>
      <c r="B147" s="25"/>
      <c r="C147" s="28"/>
    </row>
    <row r="148">
      <c r="A148" s="12"/>
      <c r="B148" s="25"/>
      <c r="C148" s="28"/>
    </row>
    <row r="149">
      <c r="A149" s="12"/>
      <c r="B149" s="25"/>
      <c r="C149" s="28"/>
    </row>
    <row r="150">
      <c r="A150" s="12"/>
      <c r="B150" s="25"/>
      <c r="C150" s="28"/>
    </row>
    <row r="151">
      <c r="A151" s="12"/>
      <c r="B151" s="25"/>
      <c r="C151" s="28"/>
    </row>
    <row r="152">
      <c r="A152" s="12"/>
      <c r="B152" s="25"/>
      <c r="C152" s="28"/>
    </row>
    <row r="153">
      <c r="A153" s="12"/>
      <c r="B153" s="25"/>
      <c r="C153" s="28"/>
    </row>
    <row r="154">
      <c r="A154" s="12"/>
      <c r="B154" s="25"/>
      <c r="C154" s="28"/>
    </row>
    <row r="155">
      <c r="A155" s="12"/>
      <c r="B155" s="25"/>
      <c r="C155" s="28"/>
    </row>
    <row r="156">
      <c r="A156" s="12"/>
      <c r="B156" s="25"/>
      <c r="C156" s="28"/>
    </row>
    <row r="157">
      <c r="A157" s="12"/>
      <c r="B157" s="25"/>
      <c r="C157" s="28"/>
    </row>
    <row r="158">
      <c r="A158" s="12"/>
      <c r="B158" s="25"/>
      <c r="C158" s="28"/>
    </row>
    <row r="159">
      <c r="A159" s="12"/>
      <c r="B159" s="25"/>
      <c r="C159" s="28"/>
    </row>
    <row r="160">
      <c r="A160" s="12"/>
      <c r="B160" s="25"/>
      <c r="C160" s="28"/>
    </row>
    <row r="161">
      <c r="A161" s="12"/>
      <c r="B161" s="25"/>
      <c r="C161" s="28"/>
    </row>
    <row r="162">
      <c r="A162" s="12"/>
      <c r="B162" s="25"/>
      <c r="C162" s="28"/>
    </row>
    <row r="163">
      <c r="A163" s="12"/>
      <c r="B163" s="25"/>
      <c r="C163" s="28"/>
    </row>
    <row r="164">
      <c r="A164" s="12"/>
      <c r="B164" s="25"/>
      <c r="C164" s="28"/>
    </row>
    <row r="165">
      <c r="A165" s="12"/>
      <c r="B165" s="25"/>
      <c r="C165" s="28"/>
    </row>
    <row r="166">
      <c r="A166" s="12"/>
      <c r="B166" s="25"/>
      <c r="C166" s="28"/>
    </row>
    <row r="167">
      <c r="A167" s="12"/>
      <c r="B167" s="25"/>
      <c r="C167" s="28"/>
    </row>
    <row r="168">
      <c r="A168" s="12"/>
      <c r="B168" s="25"/>
      <c r="C168" s="28"/>
    </row>
    <row r="169">
      <c r="A169" s="12"/>
      <c r="B169" s="25"/>
      <c r="C169" s="28"/>
    </row>
    <row r="170">
      <c r="A170" s="12"/>
      <c r="B170" s="25"/>
      <c r="C170" s="28"/>
    </row>
    <row r="171">
      <c r="A171" s="12"/>
      <c r="B171" s="25"/>
      <c r="C171" s="28"/>
    </row>
    <row r="172">
      <c r="A172" s="12"/>
      <c r="B172" s="25"/>
      <c r="C172" s="28"/>
    </row>
    <row r="173">
      <c r="A173" s="12"/>
      <c r="B173" s="25"/>
      <c r="C173" s="28"/>
    </row>
    <row r="174">
      <c r="A174" s="12"/>
      <c r="B174" s="25"/>
      <c r="C174" s="28"/>
    </row>
    <row r="175">
      <c r="A175" s="12"/>
      <c r="B175" s="25"/>
      <c r="C175" s="28"/>
    </row>
    <row r="176">
      <c r="A176" s="12"/>
      <c r="B176" s="25"/>
      <c r="C176" s="28"/>
    </row>
    <row r="177">
      <c r="A177" s="12"/>
      <c r="B177" s="25"/>
      <c r="C177" s="28"/>
    </row>
    <row r="178">
      <c r="A178" s="12"/>
      <c r="B178" s="25"/>
      <c r="C178" s="28"/>
    </row>
    <row r="179">
      <c r="A179" s="12"/>
      <c r="B179" s="25"/>
      <c r="C179" s="28"/>
    </row>
    <row r="180">
      <c r="A180" s="12"/>
      <c r="B180" s="25"/>
      <c r="C180" s="28"/>
    </row>
    <row r="181">
      <c r="A181" s="12"/>
      <c r="B181" s="25"/>
      <c r="C181" s="28"/>
    </row>
    <row r="182">
      <c r="A182" s="12"/>
      <c r="B182" s="25"/>
      <c r="C182" s="28"/>
    </row>
    <row r="183">
      <c r="A183" s="12"/>
      <c r="B183" s="25"/>
      <c r="C183" s="28"/>
    </row>
    <row r="184">
      <c r="A184" s="12"/>
      <c r="B184" s="25"/>
      <c r="C184" s="28"/>
    </row>
    <row r="185">
      <c r="A185" s="12"/>
      <c r="B185" s="25"/>
      <c r="C185" s="28"/>
    </row>
    <row r="186">
      <c r="A186" s="12"/>
      <c r="B186" s="25"/>
      <c r="C186" s="28"/>
    </row>
    <row r="187">
      <c r="A187" s="12"/>
      <c r="B187" s="25"/>
      <c r="C187" s="28"/>
    </row>
    <row r="188">
      <c r="A188" s="12"/>
      <c r="B188" s="25"/>
      <c r="C188" s="28"/>
    </row>
    <row r="189">
      <c r="A189" s="12"/>
      <c r="B189" s="25"/>
      <c r="C189" s="28"/>
    </row>
    <row r="190">
      <c r="A190" s="12"/>
      <c r="B190" s="25"/>
      <c r="C190" s="28"/>
    </row>
    <row r="191">
      <c r="A191" s="12"/>
      <c r="B191" s="25"/>
      <c r="C191" s="28"/>
    </row>
    <row r="192">
      <c r="A192" s="12"/>
      <c r="B192" s="25"/>
      <c r="C192" s="28"/>
    </row>
    <row r="193">
      <c r="A193" s="12"/>
      <c r="B193" s="25"/>
      <c r="C193" s="28"/>
    </row>
    <row r="194">
      <c r="A194" s="12"/>
      <c r="B194" s="25"/>
      <c r="C194" s="28"/>
    </row>
    <row r="195">
      <c r="A195" s="12"/>
      <c r="B195" s="25"/>
      <c r="C195" s="28"/>
    </row>
    <row r="196">
      <c r="A196" s="12"/>
      <c r="B196" s="25"/>
      <c r="C196" s="28"/>
    </row>
    <row r="197">
      <c r="A197" s="12"/>
      <c r="B197" s="25"/>
      <c r="C197" s="28"/>
    </row>
    <row r="198">
      <c r="A198" s="12"/>
      <c r="B198" s="25"/>
      <c r="C198" s="28"/>
    </row>
    <row r="199">
      <c r="A199" s="12"/>
      <c r="B199" s="25"/>
      <c r="C199" s="28"/>
    </row>
    <row r="200">
      <c r="A200" s="12"/>
      <c r="B200" s="25"/>
      <c r="C200" s="28"/>
    </row>
    <row r="201">
      <c r="A201" s="12"/>
      <c r="B201" s="25"/>
      <c r="C201" s="28"/>
    </row>
    <row r="202">
      <c r="A202" s="12"/>
      <c r="B202" s="25"/>
      <c r="C202" s="28"/>
    </row>
    <row r="203">
      <c r="A203" s="12"/>
      <c r="B203" s="25"/>
      <c r="C203" s="28"/>
    </row>
    <row r="204">
      <c r="A204" s="12"/>
      <c r="B204" s="25"/>
      <c r="C204" s="28"/>
    </row>
    <row r="205">
      <c r="A205" s="12"/>
      <c r="B205" s="25"/>
      <c r="C205" s="28"/>
    </row>
    <row r="206">
      <c r="A206" s="12"/>
      <c r="B206" s="25"/>
      <c r="C206" s="28"/>
    </row>
    <row r="207">
      <c r="A207" s="12"/>
      <c r="B207" s="25"/>
      <c r="C207" s="28"/>
    </row>
    <row r="208">
      <c r="A208" s="12"/>
      <c r="B208" s="25"/>
      <c r="C208" s="28"/>
    </row>
    <row r="209">
      <c r="A209" s="12"/>
      <c r="B209" s="25"/>
      <c r="C209" s="28"/>
    </row>
    <row r="210">
      <c r="A210" s="12"/>
      <c r="B210" s="25"/>
      <c r="C210" s="28"/>
    </row>
    <row r="211">
      <c r="A211" s="12"/>
      <c r="B211" s="25"/>
      <c r="C211" s="28"/>
    </row>
    <row r="212">
      <c r="A212" s="12"/>
      <c r="B212" s="25"/>
      <c r="C212" s="28"/>
    </row>
    <row r="213">
      <c r="A213" s="12"/>
      <c r="B213" s="25"/>
      <c r="C213" s="28"/>
    </row>
    <row r="214">
      <c r="A214" s="12"/>
      <c r="B214" s="25"/>
      <c r="C214" s="28"/>
    </row>
    <row r="215">
      <c r="A215" s="12"/>
      <c r="B215" s="25"/>
      <c r="C215" s="28"/>
    </row>
    <row r="216">
      <c r="A216" s="12"/>
      <c r="B216" s="25"/>
      <c r="C216" s="28"/>
    </row>
    <row r="217">
      <c r="A217" s="12"/>
      <c r="B217" s="25"/>
      <c r="C217" s="28"/>
    </row>
    <row r="218">
      <c r="A218" s="12"/>
      <c r="B218" s="25"/>
      <c r="C218" s="28"/>
    </row>
    <row r="219">
      <c r="A219" s="12"/>
      <c r="B219" s="25"/>
      <c r="C219" s="28"/>
    </row>
    <row r="220">
      <c r="A220" s="12"/>
      <c r="B220" s="25"/>
      <c r="C220" s="28"/>
    </row>
    <row r="221">
      <c r="A221" s="12"/>
      <c r="B221" s="25"/>
      <c r="C221" s="28"/>
    </row>
    <row r="222">
      <c r="A222" s="12"/>
      <c r="B222" s="25"/>
      <c r="C222" s="28"/>
    </row>
    <row r="223">
      <c r="A223" s="12"/>
      <c r="B223" s="25"/>
      <c r="C223" s="28"/>
    </row>
    <row r="224">
      <c r="A224" s="12"/>
      <c r="B224" s="25"/>
      <c r="C224" s="28"/>
    </row>
    <row r="225">
      <c r="A225" s="12"/>
      <c r="B225" s="25"/>
      <c r="C225" s="28"/>
    </row>
    <row r="226">
      <c r="A226" s="12"/>
      <c r="B226" s="25"/>
      <c r="C226" s="28"/>
    </row>
    <row r="227">
      <c r="A227" s="12"/>
      <c r="B227" s="25"/>
      <c r="C227" s="28"/>
    </row>
    <row r="228">
      <c r="A228" s="12"/>
      <c r="B228" s="25"/>
      <c r="C228" s="28"/>
    </row>
    <row r="229">
      <c r="A229" s="12"/>
      <c r="B229" s="25"/>
      <c r="C229" s="28"/>
    </row>
    <row r="230">
      <c r="A230" s="12"/>
      <c r="B230" s="25"/>
      <c r="C230" s="28"/>
    </row>
    <row r="231">
      <c r="A231" s="12"/>
      <c r="B231" s="25"/>
      <c r="C231" s="28"/>
    </row>
    <row r="232">
      <c r="A232" s="12"/>
      <c r="B232" s="25"/>
      <c r="C232" s="28"/>
    </row>
    <row r="233">
      <c r="A233" s="12"/>
      <c r="B233" s="25"/>
      <c r="C233" s="28"/>
    </row>
    <row r="234">
      <c r="A234" s="12"/>
      <c r="B234" s="25"/>
      <c r="C234" s="28"/>
    </row>
    <row r="235">
      <c r="A235" s="12"/>
      <c r="B235" s="25"/>
      <c r="C235" s="28"/>
    </row>
    <row r="236">
      <c r="A236" s="12"/>
      <c r="B236" s="25"/>
      <c r="C236" s="28"/>
    </row>
    <row r="237">
      <c r="A237" s="12"/>
      <c r="B237" s="25"/>
      <c r="C237" s="28"/>
    </row>
    <row r="238">
      <c r="A238" s="12"/>
      <c r="B238" s="25"/>
      <c r="C238" s="28"/>
    </row>
    <row r="239">
      <c r="A239" s="12"/>
      <c r="B239" s="25"/>
      <c r="C239" s="28"/>
    </row>
    <row r="240">
      <c r="A240" s="12"/>
      <c r="B240" s="25"/>
      <c r="C240" s="28"/>
    </row>
    <row r="241">
      <c r="A241" s="12"/>
      <c r="B241" s="25"/>
      <c r="C241" s="28"/>
    </row>
    <row r="242">
      <c r="A242" s="12"/>
      <c r="B242" s="25"/>
      <c r="C242" s="28"/>
    </row>
    <row r="243">
      <c r="A243" s="12"/>
      <c r="B243" s="25"/>
      <c r="C243" s="28"/>
    </row>
    <row r="244">
      <c r="A244" s="12"/>
      <c r="B244" s="25"/>
      <c r="C244" s="28"/>
    </row>
    <row r="245">
      <c r="A245" s="12"/>
      <c r="B245" s="25"/>
      <c r="C245" s="28"/>
    </row>
    <row r="246">
      <c r="A246" s="12"/>
      <c r="B246" s="25"/>
      <c r="C246" s="28"/>
    </row>
    <row r="247">
      <c r="A247" s="12"/>
      <c r="B247" s="25"/>
      <c r="C247" s="28"/>
    </row>
    <row r="248">
      <c r="A248" s="12"/>
      <c r="B248" s="25"/>
      <c r="C248" s="28"/>
    </row>
    <row r="249">
      <c r="A249" s="12"/>
      <c r="B249" s="25"/>
      <c r="C249" s="28"/>
    </row>
    <row r="250">
      <c r="A250" s="12"/>
      <c r="B250" s="25"/>
      <c r="C250" s="28"/>
    </row>
    <row r="251">
      <c r="A251" s="12"/>
      <c r="B251" s="25"/>
      <c r="C251" s="28"/>
    </row>
    <row r="252">
      <c r="A252" s="12"/>
      <c r="B252" s="25"/>
      <c r="C252" s="28"/>
    </row>
    <row r="253">
      <c r="A253" s="12"/>
      <c r="B253" s="25"/>
      <c r="C253" s="28"/>
    </row>
    <row r="254">
      <c r="A254" s="12"/>
      <c r="B254" s="25"/>
      <c r="C254" s="28"/>
    </row>
    <row r="255">
      <c r="A255" s="12"/>
      <c r="B255" s="25"/>
      <c r="C255" s="28"/>
    </row>
    <row r="256">
      <c r="A256" s="12"/>
      <c r="B256" s="25"/>
      <c r="C256" s="28"/>
    </row>
    <row r="257">
      <c r="A257" s="12"/>
      <c r="B257" s="25"/>
      <c r="C257" s="28"/>
    </row>
    <row r="258">
      <c r="A258" s="12"/>
      <c r="B258" s="25"/>
      <c r="C258" s="28"/>
    </row>
    <row r="259">
      <c r="A259" s="12"/>
      <c r="B259" s="25"/>
      <c r="C259" s="28"/>
    </row>
    <row r="260">
      <c r="A260" s="12"/>
      <c r="B260" s="25"/>
      <c r="C260" s="28"/>
    </row>
    <row r="261">
      <c r="A261" s="12"/>
      <c r="B261" s="25"/>
      <c r="C261" s="28"/>
    </row>
    <row r="262">
      <c r="A262" s="12"/>
      <c r="B262" s="25"/>
      <c r="C262" s="28"/>
    </row>
    <row r="263">
      <c r="A263" s="12"/>
      <c r="B263" s="25"/>
      <c r="C263" s="28"/>
    </row>
    <row r="264">
      <c r="A264" s="12"/>
      <c r="B264" s="25"/>
      <c r="C264" s="28"/>
    </row>
    <row r="265">
      <c r="A265" s="12"/>
      <c r="B265" s="25"/>
      <c r="C265" s="28"/>
    </row>
    <row r="266">
      <c r="A266" s="12"/>
      <c r="B266" s="25"/>
      <c r="C266" s="28"/>
    </row>
    <row r="267">
      <c r="A267" s="12"/>
      <c r="B267" s="25"/>
      <c r="C267" s="28"/>
    </row>
    <row r="268">
      <c r="A268" s="12"/>
      <c r="B268" s="25"/>
      <c r="C268" s="28"/>
    </row>
    <row r="269">
      <c r="A269" s="12"/>
      <c r="B269" s="25"/>
      <c r="C269" s="28"/>
    </row>
    <row r="270">
      <c r="A270" s="12"/>
      <c r="B270" s="25"/>
      <c r="C270" s="28"/>
    </row>
    <row r="271">
      <c r="A271" s="12"/>
      <c r="B271" s="25"/>
      <c r="C271" s="28"/>
    </row>
    <row r="272">
      <c r="A272" s="12"/>
      <c r="B272" s="25"/>
      <c r="C272" s="28"/>
    </row>
    <row r="273">
      <c r="A273" s="12"/>
      <c r="B273" s="25"/>
      <c r="C273" s="28"/>
    </row>
    <row r="274">
      <c r="A274" s="12"/>
      <c r="B274" s="25"/>
      <c r="C274" s="28"/>
    </row>
    <row r="275">
      <c r="A275" s="12"/>
      <c r="B275" s="25"/>
      <c r="C275" s="28"/>
    </row>
    <row r="276">
      <c r="A276" s="12"/>
      <c r="B276" s="25"/>
      <c r="C276" s="28"/>
    </row>
    <row r="277">
      <c r="A277" s="12"/>
      <c r="B277" s="25"/>
      <c r="C277" s="28"/>
    </row>
    <row r="278">
      <c r="A278" s="12"/>
      <c r="B278" s="25"/>
      <c r="C278" s="28"/>
    </row>
    <row r="279">
      <c r="A279" s="12"/>
      <c r="B279" s="25"/>
      <c r="C279" s="28"/>
    </row>
    <row r="280">
      <c r="A280" s="12"/>
      <c r="B280" s="25"/>
      <c r="C280" s="28"/>
    </row>
    <row r="281">
      <c r="A281" s="12"/>
      <c r="B281" s="25"/>
      <c r="C281" s="28"/>
    </row>
    <row r="282">
      <c r="A282" s="12"/>
      <c r="B282" s="25"/>
      <c r="C282" s="28"/>
    </row>
    <row r="283">
      <c r="A283" s="12"/>
      <c r="B283" s="25"/>
      <c r="C283" s="28"/>
    </row>
    <row r="284">
      <c r="A284" s="12"/>
      <c r="B284" s="25"/>
      <c r="C284" s="28"/>
    </row>
    <row r="285">
      <c r="A285" s="12"/>
      <c r="B285" s="25"/>
      <c r="C285" s="28"/>
    </row>
    <row r="286">
      <c r="A286" s="12"/>
      <c r="B286" s="25"/>
      <c r="C286" s="28"/>
    </row>
    <row r="287">
      <c r="A287" s="12"/>
      <c r="B287" s="25"/>
      <c r="C287" s="28"/>
    </row>
    <row r="288">
      <c r="A288" s="12"/>
      <c r="B288" s="25"/>
      <c r="C288" s="28"/>
    </row>
    <row r="289">
      <c r="A289" s="12"/>
      <c r="B289" s="25"/>
      <c r="C289" s="28"/>
    </row>
    <row r="290">
      <c r="A290" s="12"/>
      <c r="B290" s="25"/>
      <c r="C290" s="28"/>
    </row>
    <row r="291">
      <c r="A291" s="12"/>
      <c r="B291" s="25"/>
      <c r="C291" s="28"/>
    </row>
    <row r="292">
      <c r="A292" s="12"/>
      <c r="B292" s="25"/>
      <c r="C292" s="28"/>
    </row>
    <row r="293">
      <c r="A293" s="12"/>
      <c r="B293" s="25"/>
      <c r="C293" s="28"/>
    </row>
    <row r="294">
      <c r="A294" s="12"/>
      <c r="B294" s="25"/>
      <c r="C294" s="28"/>
    </row>
    <row r="295">
      <c r="A295" s="12"/>
      <c r="B295" s="25"/>
      <c r="C295" s="28"/>
    </row>
    <row r="296">
      <c r="A296" s="12"/>
      <c r="B296" s="25"/>
      <c r="C296" s="28"/>
    </row>
    <row r="297">
      <c r="A297" s="12"/>
      <c r="B297" s="25"/>
      <c r="C297" s="28"/>
    </row>
    <row r="298">
      <c r="A298" s="12"/>
      <c r="B298" s="25"/>
      <c r="C298" s="28"/>
    </row>
    <row r="299">
      <c r="A299" s="12"/>
      <c r="B299" s="25"/>
      <c r="C299" s="28"/>
    </row>
    <row r="300">
      <c r="A300" s="12"/>
      <c r="B300" s="25"/>
      <c r="C300" s="28"/>
    </row>
    <row r="301">
      <c r="A301" s="12"/>
      <c r="B301" s="25"/>
      <c r="C301" s="28"/>
    </row>
    <row r="302">
      <c r="A302" s="12"/>
      <c r="B302" s="25"/>
      <c r="C302" s="28"/>
    </row>
    <row r="303">
      <c r="A303" s="12"/>
      <c r="B303" s="25"/>
      <c r="C303" s="28"/>
    </row>
    <row r="304">
      <c r="A304" s="12"/>
      <c r="B304" s="25"/>
      <c r="C304" s="28"/>
    </row>
    <row r="305">
      <c r="A305" s="12"/>
      <c r="B305" s="25"/>
      <c r="C305" s="28"/>
    </row>
    <row r="306">
      <c r="A306" s="12"/>
      <c r="B306" s="25"/>
      <c r="C306" s="28"/>
    </row>
    <row r="307">
      <c r="A307" s="12"/>
      <c r="B307" s="25"/>
      <c r="C307" s="28"/>
    </row>
    <row r="308">
      <c r="A308" s="12"/>
      <c r="B308" s="25"/>
      <c r="C308" s="28"/>
    </row>
    <row r="309">
      <c r="A309" s="12"/>
      <c r="B309" s="25"/>
      <c r="C309" s="28"/>
    </row>
    <row r="310">
      <c r="A310" s="12"/>
      <c r="B310" s="25"/>
      <c r="C310" s="28"/>
    </row>
    <row r="311">
      <c r="A311" s="12"/>
      <c r="B311" s="25"/>
      <c r="C311" s="28"/>
    </row>
    <row r="312">
      <c r="A312" s="12"/>
      <c r="B312" s="25"/>
      <c r="C312" s="28"/>
    </row>
    <row r="313">
      <c r="A313" s="12"/>
      <c r="B313" s="25"/>
      <c r="C313" s="28"/>
    </row>
    <row r="314">
      <c r="A314" s="12"/>
      <c r="B314" s="25"/>
      <c r="C314" s="28"/>
    </row>
    <row r="315">
      <c r="A315" s="12"/>
      <c r="B315" s="25"/>
      <c r="C315" s="28"/>
    </row>
    <row r="316">
      <c r="A316" s="12"/>
      <c r="B316" s="25"/>
      <c r="C316" s="28"/>
    </row>
    <row r="317">
      <c r="A317" s="12"/>
      <c r="B317" s="25"/>
      <c r="C317" s="28"/>
    </row>
    <row r="318">
      <c r="A318" s="12"/>
      <c r="B318" s="25"/>
      <c r="C318" s="28"/>
    </row>
    <row r="319">
      <c r="A319" s="12"/>
      <c r="B319" s="25"/>
      <c r="C319" s="28"/>
    </row>
    <row r="320">
      <c r="A320" s="12"/>
      <c r="B320" s="25"/>
      <c r="C320" s="28"/>
    </row>
    <row r="321">
      <c r="A321" s="12"/>
      <c r="B321" s="25"/>
      <c r="C321" s="28"/>
    </row>
    <row r="322">
      <c r="A322" s="12"/>
      <c r="B322" s="25"/>
      <c r="C322" s="28"/>
    </row>
    <row r="323">
      <c r="A323" s="12"/>
      <c r="B323" s="25"/>
      <c r="C323" s="28"/>
    </row>
    <row r="324">
      <c r="A324" s="12"/>
      <c r="B324" s="25"/>
      <c r="C324" s="28"/>
    </row>
    <row r="325">
      <c r="A325" s="12"/>
      <c r="B325" s="25"/>
      <c r="C325" s="28"/>
    </row>
    <row r="326">
      <c r="A326" s="12"/>
      <c r="B326" s="25"/>
      <c r="C326" s="28"/>
    </row>
    <row r="327">
      <c r="A327" s="12"/>
      <c r="B327" s="25"/>
      <c r="C327" s="28"/>
    </row>
    <row r="328">
      <c r="A328" s="12"/>
      <c r="B328" s="25"/>
      <c r="C328" s="28"/>
    </row>
    <row r="329">
      <c r="A329" s="12"/>
      <c r="B329" s="25"/>
      <c r="C329" s="28"/>
    </row>
    <row r="330">
      <c r="A330" s="12"/>
      <c r="B330" s="25"/>
      <c r="C330" s="28"/>
    </row>
    <row r="331">
      <c r="A331" s="12"/>
      <c r="B331" s="25"/>
      <c r="C331" s="28"/>
    </row>
    <row r="332">
      <c r="A332" s="12"/>
      <c r="B332" s="25"/>
      <c r="C332" s="28"/>
    </row>
    <row r="333">
      <c r="A333" s="12"/>
      <c r="B333" s="25"/>
      <c r="C333" s="28"/>
    </row>
    <row r="334">
      <c r="A334" s="12"/>
      <c r="B334" s="25"/>
      <c r="C334" s="28"/>
    </row>
    <row r="335">
      <c r="A335" s="12"/>
      <c r="B335" s="25"/>
      <c r="C335" s="28"/>
    </row>
    <row r="336">
      <c r="A336" s="12"/>
      <c r="B336" s="25"/>
      <c r="C336" s="28"/>
    </row>
    <row r="337">
      <c r="A337" s="12"/>
      <c r="B337" s="25"/>
      <c r="C337" s="28"/>
    </row>
    <row r="338">
      <c r="A338" s="12"/>
      <c r="B338" s="25"/>
      <c r="C338" s="28"/>
    </row>
    <row r="339">
      <c r="A339" s="12"/>
      <c r="B339" s="25"/>
      <c r="C339" s="28"/>
    </row>
    <row r="340">
      <c r="A340" s="12"/>
      <c r="B340" s="25"/>
      <c r="C340" s="28"/>
    </row>
    <row r="341">
      <c r="A341" s="12"/>
      <c r="B341" s="25"/>
      <c r="C341" s="28"/>
    </row>
    <row r="342">
      <c r="A342" s="12"/>
      <c r="B342" s="25"/>
      <c r="C342" s="28"/>
    </row>
    <row r="343">
      <c r="A343" s="12"/>
      <c r="B343" s="25"/>
      <c r="C343" s="28"/>
    </row>
    <row r="344">
      <c r="A344" s="12"/>
      <c r="B344" s="25"/>
      <c r="C344" s="28"/>
    </row>
    <row r="345">
      <c r="A345" s="12"/>
      <c r="B345" s="25"/>
      <c r="C345" s="28"/>
    </row>
    <row r="346">
      <c r="A346" s="12"/>
      <c r="B346" s="25"/>
      <c r="C346" s="28"/>
    </row>
    <row r="347">
      <c r="A347" s="12"/>
      <c r="B347" s="25"/>
      <c r="C347" s="28"/>
    </row>
    <row r="348">
      <c r="A348" s="12"/>
      <c r="B348" s="25"/>
      <c r="C348" s="28"/>
    </row>
    <row r="349">
      <c r="A349" s="12"/>
      <c r="B349" s="25"/>
      <c r="C349" s="28"/>
    </row>
    <row r="350">
      <c r="A350" s="12"/>
      <c r="B350" s="25"/>
      <c r="C350" s="28"/>
    </row>
    <row r="351">
      <c r="A351" s="12"/>
      <c r="B351" s="25"/>
      <c r="C351" s="28"/>
    </row>
    <row r="352">
      <c r="A352" s="12"/>
      <c r="B352" s="25"/>
      <c r="C352" s="28"/>
    </row>
    <row r="353">
      <c r="A353" s="12"/>
      <c r="B353" s="25"/>
      <c r="C353" s="28"/>
    </row>
    <row r="354">
      <c r="A354" s="12"/>
      <c r="B354" s="25"/>
      <c r="C354" s="28"/>
    </row>
    <row r="355">
      <c r="A355" s="12"/>
      <c r="B355" s="25"/>
      <c r="C355" s="28"/>
    </row>
    <row r="356">
      <c r="A356" s="12"/>
      <c r="B356" s="25"/>
      <c r="C356" s="28"/>
    </row>
    <row r="357">
      <c r="A357" s="12"/>
      <c r="B357" s="25"/>
      <c r="C357" s="28"/>
    </row>
    <row r="358">
      <c r="A358" s="12"/>
      <c r="B358" s="25"/>
      <c r="C358" s="28"/>
    </row>
    <row r="359">
      <c r="A359" s="12"/>
      <c r="B359" s="25"/>
      <c r="C359" s="28"/>
    </row>
    <row r="360">
      <c r="A360" s="12"/>
      <c r="B360" s="25"/>
      <c r="C360" s="28"/>
    </row>
    <row r="361">
      <c r="A361" s="12"/>
      <c r="B361" s="25"/>
      <c r="C361" s="28"/>
    </row>
    <row r="362">
      <c r="A362" s="12"/>
      <c r="B362" s="25"/>
      <c r="C362" s="28"/>
    </row>
    <row r="363">
      <c r="A363" s="12"/>
      <c r="B363" s="25"/>
      <c r="C363" s="28"/>
    </row>
    <row r="364">
      <c r="A364" s="12"/>
      <c r="B364" s="25"/>
      <c r="C364" s="28"/>
    </row>
    <row r="365">
      <c r="A365" s="12"/>
      <c r="B365" s="25"/>
      <c r="C365" s="28"/>
    </row>
    <row r="366">
      <c r="A366" s="12"/>
      <c r="B366" s="25"/>
      <c r="C366" s="28"/>
    </row>
    <row r="367">
      <c r="A367" s="12"/>
      <c r="B367" s="25"/>
      <c r="C367" s="28"/>
    </row>
    <row r="368">
      <c r="A368" s="12"/>
      <c r="B368" s="25"/>
      <c r="C368" s="28"/>
    </row>
    <row r="369">
      <c r="A369" s="12"/>
      <c r="B369" s="25"/>
      <c r="C369" s="28"/>
    </row>
    <row r="370">
      <c r="A370" s="12"/>
      <c r="B370" s="25"/>
      <c r="C370" s="28"/>
    </row>
    <row r="371">
      <c r="A371" s="12"/>
      <c r="B371" s="25"/>
      <c r="C371" s="28"/>
    </row>
    <row r="372">
      <c r="A372" s="12"/>
      <c r="B372" s="25"/>
      <c r="C372" s="28"/>
    </row>
    <row r="373">
      <c r="A373" s="12"/>
      <c r="B373" s="25"/>
      <c r="C373" s="28"/>
    </row>
    <row r="374">
      <c r="A374" s="12"/>
      <c r="B374" s="25"/>
      <c r="C374" s="28"/>
    </row>
    <row r="375">
      <c r="A375" s="12"/>
      <c r="B375" s="25"/>
      <c r="C375" s="28"/>
    </row>
    <row r="376">
      <c r="A376" s="12"/>
      <c r="B376" s="25"/>
      <c r="C376" s="28"/>
    </row>
    <row r="377">
      <c r="A377" s="12"/>
      <c r="B377" s="25"/>
      <c r="C377" s="28"/>
    </row>
    <row r="378">
      <c r="A378" s="12"/>
      <c r="B378" s="25"/>
      <c r="C378" s="28"/>
    </row>
    <row r="379">
      <c r="A379" s="12"/>
      <c r="B379" s="25"/>
      <c r="C379" s="28"/>
    </row>
    <row r="380">
      <c r="A380" s="12"/>
      <c r="B380" s="25"/>
      <c r="C380" s="28"/>
    </row>
    <row r="381">
      <c r="A381" s="12"/>
      <c r="B381" s="25"/>
      <c r="C381" s="28"/>
    </row>
    <row r="382">
      <c r="A382" s="12"/>
      <c r="B382" s="25"/>
      <c r="C382" s="28"/>
    </row>
    <row r="383">
      <c r="A383" s="12"/>
      <c r="B383" s="25"/>
      <c r="C383" s="28"/>
    </row>
    <row r="384">
      <c r="A384" s="12"/>
      <c r="B384" s="25"/>
      <c r="C384" s="28"/>
    </row>
    <row r="385">
      <c r="A385" s="12"/>
      <c r="B385" s="25"/>
      <c r="C385" s="28"/>
    </row>
    <row r="386">
      <c r="A386" s="12"/>
      <c r="B386" s="25"/>
      <c r="C386" s="28"/>
    </row>
    <row r="387">
      <c r="A387" s="12"/>
      <c r="B387" s="25"/>
      <c r="C387" s="28"/>
    </row>
    <row r="388">
      <c r="A388" s="12"/>
      <c r="B388" s="25"/>
      <c r="C388" s="28"/>
    </row>
    <row r="389">
      <c r="A389" s="12"/>
      <c r="B389" s="25"/>
      <c r="C389" s="28"/>
    </row>
    <row r="390">
      <c r="A390" s="12"/>
      <c r="B390" s="25"/>
      <c r="C390" s="28"/>
    </row>
    <row r="391">
      <c r="A391" s="12"/>
      <c r="B391" s="25"/>
      <c r="C391" s="28"/>
    </row>
    <row r="392">
      <c r="A392" s="12"/>
      <c r="B392" s="25"/>
      <c r="C392" s="28"/>
    </row>
    <row r="393">
      <c r="A393" s="12"/>
      <c r="B393" s="25"/>
      <c r="C393" s="28"/>
    </row>
    <row r="394">
      <c r="A394" s="12"/>
      <c r="B394" s="25"/>
      <c r="C394" s="28"/>
    </row>
    <row r="395">
      <c r="A395" s="12"/>
      <c r="B395" s="25"/>
      <c r="C395" s="28"/>
    </row>
    <row r="396">
      <c r="A396" s="12"/>
      <c r="B396" s="25"/>
      <c r="C396" s="28"/>
    </row>
    <row r="397">
      <c r="A397" s="12"/>
      <c r="B397" s="25"/>
      <c r="C397" s="28"/>
    </row>
    <row r="398">
      <c r="A398" s="12"/>
      <c r="B398" s="25"/>
      <c r="C398" s="28"/>
    </row>
    <row r="399">
      <c r="A399" s="12"/>
      <c r="B399" s="25"/>
      <c r="C399" s="28"/>
    </row>
    <row r="400">
      <c r="A400" s="12"/>
      <c r="B400" s="25"/>
      <c r="C400" s="28"/>
    </row>
    <row r="401">
      <c r="A401" s="12"/>
      <c r="B401" s="25"/>
      <c r="C401" s="28"/>
    </row>
    <row r="402">
      <c r="A402" s="12"/>
      <c r="B402" s="25"/>
      <c r="C402" s="28"/>
    </row>
    <row r="403">
      <c r="A403" s="12"/>
      <c r="B403" s="25"/>
      <c r="C403" s="28"/>
    </row>
    <row r="404">
      <c r="A404" s="12"/>
      <c r="B404" s="25"/>
      <c r="C404" s="28"/>
    </row>
    <row r="405">
      <c r="A405" s="12"/>
      <c r="B405" s="25"/>
      <c r="C405" s="28"/>
    </row>
    <row r="406">
      <c r="A406" s="12"/>
      <c r="B406" s="25"/>
      <c r="C406" s="28"/>
    </row>
    <row r="407">
      <c r="A407" s="12"/>
      <c r="B407" s="25"/>
      <c r="C407" s="28"/>
    </row>
    <row r="408">
      <c r="A408" s="12"/>
      <c r="B408" s="25"/>
      <c r="C408" s="28"/>
    </row>
    <row r="409">
      <c r="A409" s="12"/>
      <c r="B409" s="25"/>
      <c r="C409" s="28"/>
    </row>
    <row r="410">
      <c r="A410" s="12"/>
      <c r="B410" s="25"/>
      <c r="C410" s="28"/>
    </row>
    <row r="411">
      <c r="A411" s="12"/>
      <c r="B411" s="25"/>
      <c r="C411" s="28"/>
    </row>
    <row r="412">
      <c r="A412" s="12"/>
      <c r="B412" s="25"/>
      <c r="C412" s="28"/>
    </row>
    <row r="413">
      <c r="A413" s="12"/>
      <c r="B413" s="25"/>
      <c r="C413" s="28"/>
    </row>
    <row r="414">
      <c r="A414" s="12"/>
      <c r="B414" s="25"/>
      <c r="C414" s="28"/>
    </row>
    <row r="415">
      <c r="A415" s="12"/>
      <c r="B415" s="25"/>
      <c r="C415" s="28"/>
    </row>
    <row r="416">
      <c r="A416" s="12"/>
      <c r="B416" s="25"/>
      <c r="C416" s="28"/>
    </row>
    <row r="417">
      <c r="A417" s="12"/>
      <c r="B417" s="25"/>
      <c r="C417" s="28"/>
    </row>
    <row r="418">
      <c r="A418" s="12"/>
      <c r="B418" s="25"/>
      <c r="C418" s="28"/>
    </row>
    <row r="419">
      <c r="A419" s="12"/>
      <c r="B419" s="25"/>
      <c r="C419" s="28"/>
    </row>
    <row r="420">
      <c r="A420" s="12"/>
      <c r="B420" s="25"/>
      <c r="C420" s="28"/>
    </row>
    <row r="421">
      <c r="A421" s="12"/>
      <c r="B421" s="25"/>
      <c r="C421" s="28"/>
    </row>
    <row r="422">
      <c r="A422" s="12"/>
      <c r="B422" s="25"/>
      <c r="C422" s="28"/>
    </row>
    <row r="423">
      <c r="A423" s="12"/>
      <c r="B423" s="25"/>
      <c r="C423" s="28"/>
    </row>
    <row r="424">
      <c r="A424" s="12"/>
      <c r="B424" s="25"/>
      <c r="C424" s="28"/>
    </row>
    <row r="425">
      <c r="A425" s="12"/>
      <c r="B425" s="25"/>
      <c r="C425" s="28"/>
    </row>
    <row r="426">
      <c r="A426" s="12"/>
      <c r="B426" s="25"/>
      <c r="C426" s="28"/>
    </row>
    <row r="427">
      <c r="A427" s="12"/>
      <c r="B427" s="25"/>
      <c r="C427" s="28"/>
    </row>
    <row r="428">
      <c r="A428" s="12"/>
      <c r="B428" s="25"/>
      <c r="C428" s="28"/>
    </row>
    <row r="429">
      <c r="A429" s="12"/>
      <c r="B429" s="25"/>
      <c r="C429" s="28"/>
    </row>
    <row r="430">
      <c r="A430" s="12"/>
      <c r="B430" s="25"/>
      <c r="C430" s="28"/>
    </row>
    <row r="431">
      <c r="A431" s="12"/>
      <c r="B431" s="25"/>
      <c r="C431" s="28"/>
    </row>
    <row r="432">
      <c r="A432" s="12"/>
      <c r="B432" s="25"/>
      <c r="C432" s="28"/>
    </row>
    <row r="433">
      <c r="A433" s="12"/>
      <c r="B433" s="25"/>
      <c r="C433" s="28"/>
    </row>
    <row r="434">
      <c r="A434" s="12"/>
      <c r="B434" s="25"/>
      <c r="C434" s="28"/>
    </row>
    <row r="435">
      <c r="A435" s="12"/>
      <c r="B435" s="25"/>
      <c r="C435" s="28"/>
    </row>
    <row r="436">
      <c r="A436" s="12"/>
      <c r="B436" s="25"/>
      <c r="C436" s="28"/>
    </row>
    <row r="437">
      <c r="A437" s="12"/>
      <c r="B437" s="25"/>
      <c r="C437" s="28"/>
    </row>
    <row r="438">
      <c r="A438" s="12"/>
      <c r="B438" s="25"/>
      <c r="C438" s="28"/>
    </row>
    <row r="439">
      <c r="A439" s="12"/>
      <c r="B439" s="25"/>
      <c r="C439" s="28"/>
    </row>
    <row r="440">
      <c r="A440" s="12"/>
      <c r="B440" s="25"/>
      <c r="C440" s="28"/>
    </row>
    <row r="441">
      <c r="A441" s="12"/>
      <c r="B441" s="25"/>
      <c r="C441" s="28"/>
    </row>
    <row r="442">
      <c r="A442" s="12"/>
      <c r="B442" s="25"/>
      <c r="C442" s="28"/>
    </row>
    <row r="443">
      <c r="A443" s="12"/>
      <c r="B443" s="25"/>
      <c r="C443" s="28"/>
    </row>
    <row r="444">
      <c r="A444" s="12"/>
      <c r="B444" s="25"/>
      <c r="C444" s="28"/>
    </row>
    <row r="445">
      <c r="A445" s="12"/>
      <c r="B445" s="25"/>
      <c r="C445" s="28"/>
    </row>
    <row r="446">
      <c r="A446" s="12"/>
      <c r="B446" s="25"/>
      <c r="C446" s="28"/>
    </row>
    <row r="447">
      <c r="A447" s="12"/>
      <c r="B447" s="25"/>
      <c r="C447" s="28"/>
    </row>
    <row r="448">
      <c r="A448" s="12"/>
      <c r="B448" s="25"/>
      <c r="C448" s="28"/>
    </row>
    <row r="449">
      <c r="A449" s="12"/>
      <c r="B449" s="25"/>
      <c r="C449" s="28"/>
    </row>
    <row r="450">
      <c r="A450" s="12"/>
      <c r="B450" s="25"/>
      <c r="C450" s="28"/>
    </row>
    <row r="451">
      <c r="A451" s="12"/>
      <c r="B451" s="25"/>
      <c r="C451" s="28"/>
    </row>
    <row r="452">
      <c r="A452" s="12"/>
      <c r="B452" s="25"/>
      <c r="C452" s="28"/>
    </row>
    <row r="453">
      <c r="A453" s="12"/>
      <c r="B453" s="25"/>
      <c r="C453" s="28"/>
    </row>
    <row r="454">
      <c r="A454" s="12"/>
      <c r="B454" s="25"/>
      <c r="C454" s="28"/>
    </row>
    <row r="455">
      <c r="A455" s="12"/>
      <c r="B455" s="25"/>
      <c r="C455" s="28"/>
    </row>
    <row r="456">
      <c r="A456" s="12"/>
      <c r="B456" s="25"/>
      <c r="C456" s="28"/>
    </row>
    <row r="457">
      <c r="A457" s="12"/>
      <c r="B457" s="25"/>
      <c r="C457" s="28"/>
    </row>
    <row r="458">
      <c r="A458" s="12"/>
      <c r="B458" s="25"/>
      <c r="C458" s="28"/>
    </row>
    <row r="459">
      <c r="A459" s="12"/>
      <c r="B459" s="25"/>
      <c r="C459" s="28"/>
    </row>
    <row r="460">
      <c r="A460" s="12"/>
      <c r="B460" s="25"/>
      <c r="C460" s="28"/>
    </row>
    <row r="461">
      <c r="A461" s="12"/>
      <c r="B461" s="25"/>
      <c r="C461" s="28"/>
    </row>
    <row r="462">
      <c r="A462" s="12"/>
      <c r="B462" s="25"/>
      <c r="C462" s="28"/>
    </row>
    <row r="463">
      <c r="A463" s="12"/>
      <c r="B463" s="25"/>
      <c r="C463" s="28"/>
    </row>
    <row r="464">
      <c r="A464" s="12"/>
      <c r="B464" s="25"/>
      <c r="C464" s="28"/>
    </row>
    <row r="465">
      <c r="A465" s="12"/>
      <c r="B465" s="25"/>
      <c r="C465" s="28"/>
    </row>
    <row r="466">
      <c r="A466" s="12"/>
      <c r="B466" s="25"/>
      <c r="C466" s="28"/>
    </row>
    <row r="467">
      <c r="A467" s="12"/>
      <c r="B467" s="25"/>
      <c r="C467" s="28"/>
    </row>
    <row r="468">
      <c r="A468" s="12"/>
      <c r="B468" s="25"/>
      <c r="C468" s="28"/>
    </row>
    <row r="469">
      <c r="A469" s="12"/>
      <c r="B469" s="25"/>
      <c r="C469" s="28"/>
    </row>
    <row r="470">
      <c r="A470" s="12"/>
      <c r="B470" s="25"/>
      <c r="C470" s="28"/>
    </row>
    <row r="471">
      <c r="A471" s="12"/>
      <c r="B471" s="25"/>
      <c r="C471" s="28"/>
    </row>
    <row r="472">
      <c r="A472" s="12"/>
      <c r="B472" s="25"/>
      <c r="C472" s="28"/>
    </row>
    <row r="473">
      <c r="A473" s="12"/>
      <c r="B473" s="25"/>
      <c r="C473" s="28"/>
    </row>
    <row r="474">
      <c r="A474" s="12"/>
      <c r="B474" s="25"/>
      <c r="C474" s="28"/>
    </row>
    <row r="475">
      <c r="A475" s="12"/>
      <c r="B475" s="25"/>
      <c r="C475" s="28"/>
    </row>
    <row r="476">
      <c r="A476" s="12"/>
      <c r="B476" s="25"/>
      <c r="C476" s="28"/>
    </row>
    <row r="477">
      <c r="A477" s="12"/>
      <c r="B477" s="25"/>
      <c r="C477" s="28"/>
    </row>
    <row r="478">
      <c r="A478" s="12"/>
      <c r="B478" s="25"/>
      <c r="C478" s="28"/>
    </row>
    <row r="479">
      <c r="A479" s="12"/>
      <c r="B479" s="25"/>
      <c r="C479" s="28"/>
    </row>
    <row r="480">
      <c r="A480" s="12"/>
      <c r="B480" s="25"/>
      <c r="C480" s="28"/>
    </row>
    <row r="481">
      <c r="A481" s="12"/>
      <c r="B481" s="25"/>
      <c r="C481" s="28"/>
    </row>
    <row r="482">
      <c r="A482" s="12"/>
      <c r="B482" s="25"/>
      <c r="C482" s="28"/>
    </row>
    <row r="483">
      <c r="A483" s="12"/>
      <c r="B483" s="25"/>
      <c r="C483" s="28"/>
    </row>
    <row r="484">
      <c r="A484" s="12"/>
      <c r="B484" s="25"/>
      <c r="C484" s="28"/>
    </row>
    <row r="485">
      <c r="A485" s="12"/>
      <c r="B485" s="25"/>
      <c r="C485" s="28"/>
    </row>
    <row r="486">
      <c r="A486" s="12"/>
      <c r="B486" s="25"/>
      <c r="C486" s="28"/>
    </row>
    <row r="487">
      <c r="A487" s="12"/>
      <c r="B487" s="25"/>
      <c r="C487" s="28"/>
    </row>
    <row r="488">
      <c r="A488" s="12"/>
      <c r="B488" s="25"/>
      <c r="C488" s="28"/>
    </row>
    <row r="489">
      <c r="A489" s="12"/>
      <c r="B489" s="25"/>
      <c r="C489" s="28"/>
    </row>
    <row r="490">
      <c r="A490" s="12"/>
      <c r="B490" s="25"/>
      <c r="C490" s="28"/>
    </row>
    <row r="491">
      <c r="A491" s="12"/>
      <c r="B491" s="25"/>
      <c r="C491" s="28"/>
    </row>
    <row r="492">
      <c r="A492" s="12"/>
      <c r="B492" s="25"/>
      <c r="C492" s="28"/>
    </row>
    <row r="493">
      <c r="A493" s="12"/>
      <c r="B493" s="25"/>
      <c r="C493" s="28"/>
    </row>
    <row r="494">
      <c r="A494" s="12"/>
      <c r="B494" s="25"/>
      <c r="C494" s="28"/>
    </row>
    <row r="495">
      <c r="A495" s="12"/>
      <c r="B495" s="25"/>
      <c r="C495" s="28"/>
    </row>
    <row r="496">
      <c r="A496" s="12"/>
      <c r="B496" s="25"/>
      <c r="C496" s="28"/>
    </row>
    <row r="497">
      <c r="A497" s="12"/>
      <c r="B497" s="25"/>
      <c r="C497" s="28"/>
    </row>
    <row r="498">
      <c r="A498" s="12"/>
      <c r="B498" s="25"/>
      <c r="C498" s="28"/>
    </row>
    <row r="499">
      <c r="A499" s="12"/>
      <c r="B499" s="25"/>
      <c r="C499" s="28"/>
    </row>
    <row r="500">
      <c r="A500" s="12"/>
      <c r="B500" s="25"/>
      <c r="C500" s="28"/>
    </row>
    <row r="501">
      <c r="A501" s="12"/>
      <c r="B501" s="25"/>
      <c r="C501" s="28"/>
    </row>
    <row r="502">
      <c r="A502" s="12"/>
      <c r="B502" s="25"/>
      <c r="C502" s="28"/>
    </row>
    <row r="503">
      <c r="A503" s="12"/>
      <c r="B503" s="25"/>
      <c r="C503" s="28"/>
    </row>
    <row r="504">
      <c r="A504" s="12"/>
      <c r="B504" s="25"/>
      <c r="C504" s="28"/>
    </row>
    <row r="505">
      <c r="A505" s="12"/>
      <c r="B505" s="25"/>
      <c r="C505" s="28"/>
    </row>
    <row r="506">
      <c r="A506" s="12"/>
      <c r="B506" s="25"/>
      <c r="C506" s="28"/>
    </row>
    <row r="507">
      <c r="A507" s="12"/>
      <c r="B507" s="25"/>
      <c r="C507" s="28"/>
    </row>
    <row r="508">
      <c r="A508" s="12"/>
      <c r="B508" s="25"/>
      <c r="C508" s="28"/>
    </row>
    <row r="509">
      <c r="A509" s="12"/>
      <c r="B509" s="25"/>
      <c r="C509" s="28"/>
    </row>
    <row r="510">
      <c r="A510" s="12"/>
      <c r="B510" s="25"/>
      <c r="C510" s="28"/>
    </row>
    <row r="511">
      <c r="A511" s="12"/>
      <c r="B511" s="25"/>
      <c r="C511" s="28"/>
    </row>
    <row r="512">
      <c r="A512" s="12"/>
      <c r="B512" s="25"/>
      <c r="C512" s="28"/>
    </row>
    <row r="513">
      <c r="A513" s="12"/>
      <c r="B513" s="25"/>
      <c r="C513" s="28"/>
    </row>
    <row r="514">
      <c r="A514" s="12"/>
      <c r="B514" s="25"/>
      <c r="C514" s="28"/>
    </row>
    <row r="515">
      <c r="A515" s="12"/>
      <c r="B515" s="25"/>
      <c r="C515" s="28"/>
    </row>
    <row r="516">
      <c r="A516" s="12"/>
      <c r="B516" s="25"/>
      <c r="C516" s="28"/>
    </row>
    <row r="517">
      <c r="A517" s="12"/>
      <c r="B517" s="25"/>
      <c r="C517" s="28"/>
    </row>
    <row r="518">
      <c r="A518" s="12"/>
      <c r="B518" s="25"/>
      <c r="C518" s="28"/>
    </row>
    <row r="519">
      <c r="A519" s="12"/>
      <c r="B519" s="25"/>
      <c r="C519" s="28"/>
    </row>
    <row r="520">
      <c r="A520" s="12"/>
      <c r="B520" s="25"/>
      <c r="C520" s="28"/>
    </row>
    <row r="521">
      <c r="A521" s="12"/>
      <c r="B521" s="25"/>
      <c r="C521" s="28"/>
    </row>
    <row r="522">
      <c r="A522" s="12"/>
      <c r="B522" s="25"/>
      <c r="C522" s="28"/>
    </row>
    <row r="523">
      <c r="A523" s="12"/>
      <c r="B523" s="25"/>
      <c r="C523" s="28"/>
    </row>
    <row r="524">
      <c r="A524" s="12"/>
      <c r="B524" s="25"/>
      <c r="C524" s="28"/>
    </row>
    <row r="525">
      <c r="A525" s="12"/>
      <c r="B525" s="25"/>
      <c r="C525" s="28"/>
    </row>
    <row r="526">
      <c r="A526" s="12"/>
      <c r="B526" s="25"/>
      <c r="C526" s="28"/>
    </row>
    <row r="527">
      <c r="A527" s="12"/>
      <c r="B527" s="25"/>
      <c r="C527" s="28"/>
    </row>
    <row r="528">
      <c r="A528" s="12"/>
      <c r="B528" s="25"/>
      <c r="C528" s="28"/>
    </row>
    <row r="529">
      <c r="A529" s="12"/>
      <c r="B529" s="25"/>
      <c r="C529" s="28"/>
    </row>
    <row r="530">
      <c r="A530" s="12"/>
      <c r="B530" s="25"/>
      <c r="C530" s="28"/>
    </row>
    <row r="531">
      <c r="A531" s="12"/>
      <c r="B531" s="25"/>
      <c r="C531" s="28"/>
    </row>
    <row r="532">
      <c r="A532" s="12"/>
      <c r="B532" s="25"/>
      <c r="C532" s="28"/>
    </row>
    <row r="533">
      <c r="A533" s="12"/>
      <c r="B533" s="25"/>
      <c r="C533" s="28"/>
    </row>
    <row r="534">
      <c r="A534" s="12"/>
      <c r="B534" s="25"/>
      <c r="C534" s="28"/>
    </row>
    <row r="535">
      <c r="A535" s="12"/>
      <c r="B535" s="25"/>
      <c r="C535" s="28"/>
    </row>
    <row r="536">
      <c r="A536" s="12"/>
      <c r="B536" s="25"/>
      <c r="C536" s="28"/>
    </row>
    <row r="537">
      <c r="A537" s="12"/>
      <c r="B537" s="25"/>
      <c r="C537" s="28"/>
    </row>
    <row r="538">
      <c r="A538" s="12"/>
      <c r="B538" s="25"/>
      <c r="C538" s="28"/>
    </row>
    <row r="539">
      <c r="A539" s="12"/>
      <c r="B539" s="25"/>
      <c r="C539" s="28"/>
    </row>
    <row r="540">
      <c r="A540" s="12"/>
      <c r="B540" s="25"/>
      <c r="C540" s="28"/>
    </row>
    <row r="541">
      <c r="A541" s="12"/>
      <c r="B541" s="25"/>
      <c r="C541" s="28"/>
    </row>
    <row r="542">
      <c r="A542" s="12"/>
      <c r="B542" s="25"/>
      <c r="C542" s="28"/>
    </row>
    <row r="543">
      <c r="A543" s="12"/>
      <c r="B543" s="25"/>
      <c r="C543" s="28"/>
    </row>
    <row r="544">
      <c r="A544" s="12"/>
      <c r="B544" s="25"/>
      <c r="C544" s="28"/>
    </row>
    <row r="545">
      <c r="A545" s="12"/>
      <c r="B545" s="25"/>
      <c r="C545" s="28"/>
    </row>
    <row r="546">
      <c r="A546" s="12"/>
      <c r="B546" s="25"/>
      <c r="C546" s="28"/>
    </row>
    <row r="547">
      <c r="A547" s="12"/>
      <c r="B547" s="25"/>
      <c r="C547" s="28"/>
    </row>
    <row r="548">
      <c r="A548" s="12"/>
      <c r="B548" s="25"/>
      <c r="C548" s="28"/>
    </row>
    <row r="549">
      <c r="A549" s="12"/>
      <c r="B549" s="25"/>
      <c r="C549" s="28"/>
    </row>
    <row r="550">
      <c r="A550" s="12"/>
      <c r="B550" s="25"/>
      <c r="C550" s="28"/>
    </row>
    <row r="551">
      <c r="A551" s="12"/>
      <c r="B551" s="25"/>
      <c r="C551" s="28"/>
    </row>
    <row r="552">
      <c r="A552" s="12"/>
      <c r="B552" s="25"/>
      <c r="C552" s="28"/>
    </row>
    <row r="553">
      <c r="A553" s="12"/>
      <c r="B553" s="25"/>
      <c r="C553" s="28"/>
    </row>
    <row r="554">
      <c r="A554" s="12"/>
      <c r="B554" s="25"/>
      <c r="C554" s="28"/>
    </row>
    <row r="555">
      <c r="A555" s="12"/>
      <c r="B555" s="25"/>
      <c r="C555" s="28"/>
    </row>
    <row r="556">
      <c r="A556" s="12"/>
      <c r="B556" s="25"/>
      <c r="C556" s="28"/>
    </row>
    <row r="557">
      <c r="A557" s="12"/>
      <c r="B557" s="25"/>
      <c r="C557" s="28"/>
    </row>
    <row r="558">
      <c r="A558" s="12"/>
      <c r="B558" s="25"/>
      <c r="C558" s="28"/>
    </row>
    <row r="559">
      <c r="A559" s="12"/>
      <c r="B559" s="25"/>
      <c r="C559" s="28"/>
    </row>
    <row r="560">
      <c r="A560" s="12"/>
      <c r="B560" s="25"/>
      <c r="C560" s="28"/>
    </row>
    <row r="561">
      <c r="A561" s="12"/>
      <c r="B561" s="25"/>
      <c r="C561" s="28"/>
    </row>
    <row r="562">
      <c r="A562" s="12"/>
      <c r="B562" s="25"/>
      <c r="C562" s="28"/>
    </row>
    <row r="563">
      <c r="A563" s="12"/>
      <c r="B563" s="25"/>
      <c r="C563" s="28"/>
    </row>
    <row r="564">
      <c r="A564" s="12"/>
      <c r="B564" s="25"/>
      <c r="C564" s="28"/>
    </row>
    <row r="565">
      <c r="A565" s="12"/>
      <c r="B565" s="25"/>
      <c r="C565" s="28"/>
    </row>
    <row r="566">
      <c r="A566" s="12"/>
      <c r="B566" s="25"/>
      <c r="C566" s="28"/>
    </row>
    <row r="567">
      <c r="A567" s="12"/>
      <c r="B567" s="25"/>
      <c r="C567" s="28"/>
    </row>
    <row r="568">
      <c r="A568" s="12"/>
      <c r="B568" s="25"/>
      <c r="C568" s="28"/>
    </row>
    <row r="569">
      <c r="A569" s="12"/>
      <c r="B569" s="25"/>
      <c r="C569" s="28"/>
    </row>
    <row r="570">
      <c r="A570" s="12"/>
      <c r="B570" s="25"/>
      <c r="C570" s="28"/>
    </row>
    <row r="571">
      <c r="A571" s="12"/>
      <c r="B571" s="25"/>
      <c r="C571" s="28"/>
    </row>
    <row r="572">
      <c r="A572" s="12"/>
      <c r="B572" s="25"/>
      <c r="C572" s="28"/>
    </row>
    <row r="573">
      <c r="A573" s="12"/>
      <c r="B573" s="25"/>
      <c r="C573" s="28"/>
    </row>
    <row r="574">
      <c r="A574" s="12"/>
      <c r="B574" s="25"/>
      <c r="C574" s="28"/>
    </row>
    <row r="575">
      <c r="A575" s="12"/>
      <c r="B575" s="25"/>
      <c r="C575" s="28"/>
    </row>
    <row r="576">
      <c r="A576" s="12"/>
      <c r="B576" s="25"/>
      <c r="C576" s="28"/>
    </row>
    <row r="577">
      <c r="A577" s="12"/>
      <c r="B577" s="25"/>
      <c r="C577" s="28"/>
    </row>
    <row r="578">
      <c r="A578" s="12"/>
      <c r="B578" s="25"/>
      <c r="C578" s="28"/>
    </row>
    <row r="579">
      <c r="A579" s="12"/>
      <c r="B579" s="25"/>
      <c r="C579" s="28"/>
    </row>
    <row r="580">
      <c r="A580" s="12"/>
      <c r="B580" s="25"/>
      <c r="C580" s="28"/>
    </row>
    <row r="581">
      <c r="A581" s="12"/>
      <c r="B581" s="25"/>
      <c r="C581" s="28"/>
    </row>
    <row r="582">
      <c r="A582" s="12"/>
      <c r="B582" s="25"/>
      <c r="C582" s="28"/>
    </row>
    <row r="583">
      <c r="A583" s="12"/>
      <c r="B583" s="25"/>
      <c r="C583" s="28"/>
    </row>
    <row r="584">
      <c r="A584" s="12"/>
      <c r="B584" s="25"/>
      <c r="C584" s="28"/>
    </row>
    <row r="585">
      <c r="A585" s="12"/>
      <c r="B585" s="25"/>
      <c r="C585" s="28"/>
    </row>
    <row r="586">
      <c r="A586" s="12"/>
      <c r="B586" s="25"/>
      <c r="C586" s="28"/>
    </row>
    <row r="587">
      <c r="A587" s="12"/>
      <c r="B587" s="25"/>
      <c r="C587" s="28"/>
    </row>
    <row r="588">
      <c r="A588" s="12"/>
      <c r="B588" s="25"/>
      <c r="C588" s="28"/>
    </row>
    <row r="589">
      <c r="A589" s="12"/>
      <c r="B589" s="25"/>
      <c r="C589" s="28"/>
    </row>
    <row r="590">
      <c r="A590" s="12"/>
      <c r="B590" s="25"/>
      <c r="C590" s="28"/>
    </row>
    <row r="591">
      <c r="A591" s="12"/>
      <c r="B591" s="25"/>
      <c r="C591" s="28"/>
    </row>
    <row r="592">
      <c r="A592" s="12"/>
      <c r="B592" s="25"/>
      <c r="C592" s="28"/>
    </row>
    <row r="593">
      <c r="A593" s="12"/>
      <c r="B593" s="25"/>
      <c r="C593" s="28"/>
    </row>
    <row r="594">
      <c r="A594" s="12"/>
      <c r="B594" s="25"/>
      <c r="C594" s="28"/>
    </row>
    <row r="595">
      <c r="A595" s="12"/>
      <c r="B595" s="25"/>
      <c r="C595" s="28"/>
    </row>
    <row r="596">
      <c r="A596" s="12"/>
      <c r="B596" s="25"/>
      <c r="C596" s="28"/>
    </row>
    <row r="597">
      <c r="A597" s="12"/>
      <c r="B597" s="25"/>
      <c r="C597" s="28"/>
    </row>
    <row r="598">
      <c r="A598" s="12"/>
      <c r="B598" s="25"/>
      <c r="C598" s="28"/>
    </row>
    <row r="599">
      <c r="A599" s="12"/>
      <c r="B599" s="25"/>
      <c r="C599" s="28"/>
    </row>
    <row r="600">
      <c r="A600" s="12"/>
      <c r="B600" s="25"/>
      <c r="C600" s="28"/>
    </row>
    <row r="601">
      <c r="A601" s="12"/>
      <c r="B601" s="25"/>
      <c r="C601" s="28"/>
    </row>
    <row r="602">
      <c r="A602" s="12"/>
      <c r="B602" s="25"/>
      <c r="C602" s="28"/>
    </row>
    <row r="603">
      <c r="A603" s="12"/>
      <c r="B603" s="25"/>
      <c r="C603" s="28"/>
    </row>
    <row r="604">
      <c r="A604" s="12"/>
      <c r="B604" s="25"/>
      <c r="C604" s="28"/>
    </row>
    <row r="605">
      <c r="A605" s="12"/>
      <c r="B605" s="25"/>
      <c r="C605" s="28"/>
    </row>
    <row r="606">
      <c r="A606" s="12"/>
      <c r="B606" s="25"/>
      <c r="C606" s="28"/>
    </row>
    <row r="607">
      <c r="A607" s="12"/>
      <c r="B607" s="25"/>
      <c r="C607" s="28"/>
    </row>
    <row r="608">
      <c r="A608" s="12"/>
      <c r="B608" s="25"/>
      <c r="C608" s="28"/>
    </row>
    <row r="609">
      <c r="A609" s="12"/>
      <c r="B609" s="25"/>
      <c r="C609" s="28"/>
    </row>
    <row r="610">
      <c r="A610" s="12"/>
      <c r="B610" s="25"/>
      <c r="C610" s="28"/>
    </row>
    <row r="611">
      <c r="A611" s="12"/>
      <c r="B611" s="25"/>
      <c r="C611" s="28"/>
    </row>
    <row r="612">
      <c r="A612" s="12"/>
      <c r="B612" s="25"/>
      <c r="C612" s="28"/>
    </row>
    <row r="613">
      <c r="A613" s="12"/>
      <c r="B613" s="25"/>
      <c r="C613" s="28"/>
    </row>
    <row r="614">
      <c r="A614" s="12"/>
      <c r="B614" s="25"/>
      <c r="C614" s="28"/>
    </row>
    <row r="615">
      <c r="A615" s="12"/>
      <c r="B615" s="25"/>
      <c r="C615" s="28"/>
    </row>
    <row r="616">
      <c r="A616" s="12"/>
      <c r="B616" s="25"/>
      <c r="C616" s="28"/>
    </row>
    <row r="617">
      <c r="A617" s="12"/>
      <c r="B617" s="25"/>
      <c r="C617" s="28"/>
    </row>
    <row r="618">
      <c r="A618" s="12"/>
      <c r="B618" s="25"/>
      <c r="C618" s="28"/>
    </row>
    <row r="619">
      <c r="A619" s="12"/>
      <c r="B619" s="25"/>
      <c r="C619" s="28"/>
    </row>
    <row r="620">
      <c r="A620" s="12"/>
      <c r="B620" s="25"/>
      <c r="C620" s="28"/>
    </row>
    <row r="621">
      <c r="A621" s="12"/>
      <c r="B621" s="25"/>
      <c r="C621" s="28"/>
    </row>
    <row r="622">
      <c r="A622" s="12"/>
      <c r="B622" s="25"/>
      <c r="C622" s="28"/>
    </row>
    <row r="623">
      <c r="A623" s="12"/>
      <c r="B623" s="25"/>
      <c r="C623" s="28"/>
    </row>
    <row r="624">
      <c r="A624" s="12"/>
      <c r="B624" s="25"/>
      <c r="C624" s="28"/>
    </row>
    <row r="625">
      <c r="A625" s="12"/>
      <c r="B625" s="25"/>
      <c r="C625" s="28"/>
    </row>
    <row r="626">
      <c r="A626" s="12"/>
      <c r="B626" s="25"/>
      <c r="C626" s="28"/>
    </row>
    <row r="627">
      <c r="A627" s="12"/>
      <c r="B627" s="25"/>
      <c r="C627" s="28"/>
    </row>
    <row r="628">
      <c r="A628" s="12"/>
      <c r="B628" s="25"/>
      <c r="C628" s="28"/>
    </row>
    <row r="629">
      <c r="A629" s="12"/>
      <c r="B629" s="25"/>
      <c r="C629" s="28"/>
    </row>
    <row r="630">
      <c r="A630" s="12"/>
      <c r="B630" s="25"/>
      <c r="C630" s="28"/>
    </row>
    <row r="631">
      <c r="A631" s="12"/>
      <c r="B631" s="25"/>
      <c r="C631" s="28"/>
    </row>
    <row r="632">
      <c r="A632" s="12"/>
      <c r="B632" s="25"/>
      <c r="C632" s="28"/>
    </row>
    <row r="633">
      <c r="A633" s="12"/>
      <c r="B633" s="25"/>
      <c r="C633" s="28"/>
    </row>
    <row r="634">
      <c r="A634" s="12"/>
      <c r="B634" s="25"/>
      <c r="C634" s="28"/>
    </row>
    <row r="635">
      <c r="A635" s="12"/>
      <c r="B635" s="25"/>
      <c r="C635" s="28"/>
    </row>
    <row r="636">
      <c r="A636" s="12"/>
      <c r="B636" s="25"/>
      <c r="C636" s="28"/>
    </row>
    <row r="637">
      <c r="A637" s="12"/>
      <c r="B637" s="25"/>
      <c r="C637" s="28"/>
    </row>
    <row r="638">
      <c r="A638" s="12"/>
      <c r="B638" s="25"/>
      <c r="C638" s="28"/>
    </row>
    <row r="639">
      <c r="A639" s="12"/>
      <c r="B639" s="25"/>
      <c r="C639" s="28"/>
    </row>
    <row r="640">
      <c r="A640" s="12"/>
      <c r="B640" s="25"/>
      <c r="C640" s="28"/>
    </row>
    <row r="641">
      <c r="A641" s="12"/>
      <c r="B641" s="25"/>
      <c r="C641" s="28"/>
    </row>
    <row r="642">
      <c r="A642" s="12"/>
      <c r="B642" s="25"/>
      <c r="C642" s="28"/>
    </row>
    <row r="643">
      <c r="A643" s="12"/>
      <c r="B643" s="25"/>
      <c r="C643" s="28"/>
    </row>
    <row r="644">
      <c r="A644" s="12"/>
      <c r="B644" s="25"/>
      <c r="C644" s="28"/>
    </row>
    <row r="645">
      <c r="A645" s="12"/>
      <c r="B645" s="25"/>
      <c r="C645" s="28"/>
    </row>
    <row r="646">
      <c r="A646" s="12"/>
      <c r="B646" s="25"/>
      <c r="C646" s="28"/>
    </row>
    <row r="647">
      <c r="A647" s="12"/>
      <c r="B647" s="25"/>
      <c r="C647" s="28"/>
    </row>
    <row r="648">
      <c r="A648" s="12"/>
      <c r="B648" s="25"/>
      <c r="C648" s="28"/>
    </row>
    <row r="649">
      <c r="A649" s="12"/>
      <c r="B649" s="25"/>
      <c r="C649" s="28"/>
    </row>
    <row r="650">
      <c r="A650" s="12"/>
      <c r="B650" s="25"/>
      <c r="C650" s="28"/>
    </row>
    <row r="651">
      <c r="A651" s="12"/>
      <c r="B651" s="25"/>
      <c r="C651" s="28"/>
    </row>
    <row r="652">
      <c r="A652" s="12"/>
      <c r="B652" s="25"/>
      <c r="C652" s="28"/>
    </row>
    <row r="653">
      <c r="A653" s="12"/>
      <c r="B653" s="25"/>
      <c r="C653" s="28"/>
    </row>
    <row r="654">
      <c r="A654" s="12"/>
      <c r="B654" s="25"/>
      <c r="C654" s="28"/>
    </row>
    <row r="655">
      <c r="A655" s="12"/>
      <c r="B655" s="25"/>
      <c r="C655" s="28"/>
    </row>
    <row r="656">
      <c r="A656" s="12"/>
      <c r="B656" s="25"/>
      <c r="C656" s="28"/>
    </row>
    <row r="657">
      <c r="A657" s="12"/>
      <c r="B657" s="25"/>
      <c r="C657" s="28"/>
    </row>
    <row r="658">
      <c r="A658" s="12"/>
      <c r="B658" s="25"/>
      <c r="C658" s="28"/>
    </row>
    <row r="659">
      <c r="A659" s="12"/>
      <c r="B659" s="25"/>
      <c r="C659" s="28"/>
    </row>
    <row r="660">
      <c r="A660" s="12"/>
      <c r="B660" s="25"/>
      <c r="C660" s="28"/>
    </row>
    <row r="661">
      <c r="A661" s="12"/>
      <c r="B661" s="25"/>
      <c r="C661" s="28"/>
    </row>
    <row r="662">
      <c r="A662" s="12"/>
      <c r="B662" s="25"/>
      <c r="C662" s="28"/>
    </row>
    <row r="663">
      <c r="A663" s="12"/>
      <c r="B663" s="25"/>
      <c r="C663" s="28"/>
    </row>
    <row r="664">
      <c r="A664" s="12"/>
      <c r="B664" s="25"/>
      <c r="C664" s="28"/>
    </row>
    <row r="665">
      <c r="A665" s="12"/>
      <c r="B665" s="25"/>
      <c r="C665" s="28"/>
    </row>
    <row r="666">
      <c r="A666" s="12"/>
      <c r="B666" s="25"/>
      <c r="C666" s="28"/>
    </row>
    <row r="667">
      <c r="A667" s="12"/>
      <c r="B667" s="25"/>
      <c r="C667" s="28"/>
    </row>
    <row r="668">
      <c r="A668" s="12"/>
      <c r="B668" s="25"/>
      <c r="C668" s="28"/>
    </row>
    <row r="669">
      <c r="A669" s="12"/>
      <c r="B669" s="25"/>
      <c r="C669" s="28"/>
    </row>
    <row r="670">
      <c r="A670" s="12"/>
      <c r="B670" s="25"/>
      <c r="C670" s="28"/>
    </row>
    <row r="671">
      <c r="A671" s="12"/>
      <c r="B671" s="25"/>
      <c r="C671" s="28"/>
    </row>
    <row r="672">
      <c r="A672" s="12"/>
      <c r="B672" s="25"/>
      <c r="C672" s="28"/>
    </row>
    <row r="673">
      <c r="A673" s="12"/>
      <c r="B673" s="25"/>
      <c r="C673" s="28"/>
    </row>
    <row r="674">
      <c r="A674" s="12"/>
      <c r="B674" s="25"/>
      <c r="C674" s="28"/>
    </row>
    <row r="675">
      <c r="A675" s="12"/>
      <c r="B675" s="25"/>
      <c r="C675" s="28"/>
    </row>
    <row r="676">
      <c r="A676" s="12"/>
      <c r="B676" s="25"/>
      <c r="C676" s="28"/>
    </row>
    <row r="677">
      <c r="A677" s="12"/>
      <c r="B677" s="25"/>
      <c r="C677" s="28"/>
    </row>
    <row r="678">
      <c r="A678" s="12"/>
      <c r="B678" s="25"/>
      <c r="C678" s="28"/>
    </row>
    <row r="679">
      <c r="A679" s="12"/>
      <c r="B679" s="25"/>
      <c r="C679" s="28"/>
    </row>
    <row r="680">
      <c r="A680" s="12"/>
      <c r="B680" s="25"/>
      <c r="C680" s="28"/>
    </row>
    <row r="681">
      <c r="A681" s="12"/>
      <c r="B681" s="25"/>
      <c r="C681" s="28"/>
    </row>
    <row r="682">
      <c r="A682" s="12"/>
      <c r="B682" s="25"/>
      <c r="C682" s="28"/>
    </row>
    <row r="683">
      <c r="A683" s="12"/>
      <c r="B683" s="25"/>
      <c r="C683" s="28"/>
    </row>
    <row r="684">
      <c r="A684" s="12"/>
      <c r="B684" s="25"/>
      <c r="C684" s="28"/>
    </row>
    <row r="685">
      <c r="A685" s="12"/>
      <c r="B685" s="25"/>
      <c r="C685" s="28"/>
    </row>
    <row r="686">
      <c r="A686" s="12"/>
      <c r="B686" s="25"/>
      <c r="C686" s="28"/>
    </row>
    <row r="687">
      <c r="A687" s="12"/>
      <c r="B687" s="25"/>
      <c r="C687" s="28"/>
    </row>
    <row r="688">
      <c r="A688" s="12"/>
      <c r="B688" s="25"/>
      <c r="C688" s="28"/>
    </row>
    <row r="689">
      <c r="A689" s="12"/>
      <c r="B689" s="25"/>
      <c r="C689" s="28"/>
    </row>
    <row r="690">
      <c r="A690" s="12"/>
      <c r="B690" s="25"/>
      <c r="C690" s="28"/>
    </row>
    <row r="691">
      <c r="A691" s="12"/>
      <c r="B691" s="25"/>
      <c r="C691" s="28"/>
    </row>
    <row r="692">
      <c r="A692" s="12"/>
      <c r="B692" s="25"/>
      <c r="C692" s="28"/>
    </row>
    <row r="693">
      <c r="A693" s="12"/>
      <c r="B693" s="25"/>
      <c r="C693" s="28"/>
    </row>
    <row r="694">
      <c r="A694" s="12"/>
      <c r="B694" s="25"/>
      <c r="C694" s="28"/>
    </row>
    <row r="695">
      <c r="A695" s="12"/>
      <c r="B695" s="25"/>
      <c r="C695" s="28"/>
    </row>
    <row r="696">
      <c r="A696" s="12"/>
      <c r="B696" s="25"/>
      <c r="C696" s="28"/>
    </row>
    <row r="697">
      <c r="A697" s="12"/>
      <c r="B697" s="25"/>
      <c r="C697" s="28"/>
    </row>
    <row r="698">
      <c r="A698" s="12"/>
      <c r="B698" s="25"/>
      <c r="C698" s="28"/>
    </row>
    <row r="699">
      <c r="A699" s="12"/>
      <c r="B699" s="25"/>
      <c r="C699" s="28"/>
    </row>
    <row r="700">
      <c r="A700" s="12"/>
      <c r="B700" s="25"/>
      <c r="C700" s="28"/>
    </row>
    <row r="701">
      <c r="A701" s="12"/>
      <c r="B701" s="25"/>
      <c r="C701" s="28"/>
    </row>
    <row r="702">
      <c r="A702" s="12"/>
      <c r="B702" s="25"/>
      <c r="C702" s="28"/>
    </row>
    <row r="703">
      <c r="A703" s="12"/>
      <c r="B703" s="25"/>
      <c r="C703" s="28"/>
    </row>
    <row r="704">
      <c r="A704" s="12"/>
      <c r="B704" s="25"/>
      <c r="C704" s="28"/>
    </row>
    <row r="705">
      <c r="A705" s="12"/>
      <c r="B705" s="25"/>
      <c r="C705" s="28"/>
    </row>
    <row r="706">
      <c r="A706" s="12"/>
      <c r="B706" s="25"/>
      <c r="C706" s="28"/>
    </row>
    <row r="707">
      <c r="A707" s="12"/>
      <c r="B707" s="25"/>
      <c r="C707" s="28"/>
    </row>
    <row r="708">
      <c r="A708" s="12"/>
      <c r="B708" s="25"/>
      <c r="C708" s="28"/>
    </row>
    <row r="709">
      <c r="A709" s="12"/>
      <c r="B709" s="25"/>
      <c r="C709" s="28"/>
    </row>
    <row r="710">
      <c r="A710" s="12"/>
      <c r="B710" s="25"/>
      <c r="C710" s="28"/>
    </row>
    <row r="711">
      <c r="A711" s="12"/>
      <c r="B711" s="25"/>
      <c r="C711" s="28"/>
    </row>
    <row r="712">
      <c r="A712" s="12"/>
      <c r="B712" s="25"/>
      <c r="C712" s="28"/>
    </row>
    <row r="713">
      <c r="A713" s="12"/>
      <c r="B713" s="25"/>
      <c r="C713" s="28"/>
    </row>
    <row r="714">
      <c r="A714" s="12"/>
      <c r="B714" s="25"/>
      <c r="C714" s="28"/>
    </row>
    <row r="715">
      <c r="A715" s="12"/>
      <c r="B715" s="25"/>
      <c r="C715" s="28"/>
    </row>
    <row r="716">
      <c r="A716" s="12"/>
      <c r="B716" s="25"/>
      <c r="C716" s="28"/>
    </row>
    <row r="717">
      <c r="A717" s="12"/>
      <c r="B717" s="25"/>
      <c r="C717" s="28"/>
    </row>
    <row r="718">
      <c r="A718" s="12"/>
      <c r="B718" s="25"/>
      <c r="C718" s="28"/>
    </row>
    <row r="719">
      <c r="A719" s="12"/>
      <c r="B719" s="25"/>
      <c r="C719" s="28"/>
    </row>
    <row r="720">
      <c r="A720" s="12"/>
      <c r="B720" s="25"/>
      <c r="C720" s="28"/>
    </row>
    <row r="721">
      <c r="A721" s="12"/>
      <c r="B721" s="25"/>
      <c r="C721" s="28"/>
    </row>
    <row r="722">
      <c r="A722" s="12"/>
      <c r="B722" s="25"/>
      <c r="C722" s="28"/>
    </row>
    <row r="723">
      <c r="A723" s="12"/>
      <c r="B723" s="25"/>
      <c r="C723" s="28"/>
    </row>
    <row r="724">
      <c r="A724" s="12"/>
      <c r="B724" s="25"/>
      <c r="C724" s="28"/>
    </row>
    <row r="725">
      <c r="A725" s="12"/>
      <c r="B725" s="25"/>
      <c r="C725" s="28"/>
    </row>
    <row r="726">
      <c r="A726" s="12"/>
      <c r="B726" s="25"/>
      <c r="C726" s="28"/>
    </row>
    <row r="727">
      <c r="A727" s="12"/>
      <c r="B727" s="25"/>
      <c r="C727" s="28"/>
    </row>
    <row r="728">
      <c r="A728" s="12"/>
      <c r="B728" s="25"/>
      <c r="C728" s="28"/>
    </row>
    <row r="729">
      <c r="A729" s="12"/>
      <c r="B729" s="25"/>
      <c r="C729" s="28"/>
    </row>
    <row r="730">
      <c r="A730" s="12"/>
      <c r="B730" s="25"/>
      <c r="C730" s="28"/>
    </row>
    <row r="731">
      <c r="A731" s="12"/>
      <c r="B731" s="25"/>
      <c r="C731" s="28"/>
    </row>
    <row r="732">
      <c r="A732" s="12"/>
      <c r="B732" s="25"/>
      <c r="C732" s="28"/>
    </row>
    <row r="733">
      <c r="A733" s="12"/>
      <c r="B733" s="25"/>
      <c r="C733" s="28"/>
    </row>
    <row r="734">
      <c r="A734" s="12"/>
      <c r="B734" s="25"/>
      <c r="C734" s="28"/>
    </row>
    <row r="735">
      <c r="A735" s="12"/>
      <c r="B735" s="25"/>
      <c r="C735" s="28"/>
    </row>
    <row r="736">
      <c r="A736" s="12"/>
      <c r="B736" s="25"/>
      <c r="C736" s="28"/>
    </row>
    <row r="737">
      <c r="A737" s="12"/>
      <c r="B737" s="25"/>
      <c r="C737" s="28"/>
    </row>
    <row r="738">
      <c r="A738" s="12"/>
      <c r="B738" s="25"/>
      <c r="C738" s="28"/>
    </row>
    <row r="739">
      <c r="A739" s="12"/>
      <c r="B739" s="25"/>
      <c r="C739" s="28"/>
    </row>
    <row r="740">
      <c r="A740" s="12"/>
      <c r="B740" s="25"/>
      <c r="C740" s="28"/>
    </row>
    <row r="741">
      <c r="A741" s="12"/>
      <c r="B741" s="25"/>
      <c r="C741" s="28"/>
    </row>
    <row r="742">
      <c r="A742" s="12"/>
      <c r="B742" s="25"/>
      <c r="C742" s="28"/>
    </row>
    <row r="743">
      <c r="A743" s="12"/>
      <c r="B743" s="25"/>
      <c r="C743" s="28"/>
    </row>
    <row r="744">
      <c r="A744" s="12"/>
      <c r="B744" s="25"/>
      <c r="C744" s="28"/>
    </row>
    <row r="745">
      <c r="A745" s="12"/>
      <c r="B745" s="25"/>
      <c r="C745" s="28"/>
    </row>
    <row r="746">
      <c r="A746" s="12"/>
      <c r="B746" s="25"/>
      <c r="C746" s="28"/>
    </row>
    <row r="747">
      <c r="A747" s="12"/>
      <c r="B747" s="25"/>
      <c r="C747" s="28"/>
    </row>
    <row r="748">
      <c r="A748" s="12"/>
      <c r="B748" s="25"/>
      <c r="C748" s="28"/>
    </row>
    <row r="749">
      <c r="A749" s="12"/>
      <c r="B749" s="25"/>
      <c r="C749" s="28"/>
    </row>
    <row r="750">
      <c r="A750" s="12"/>
      <c r="B750" s="25"/>
      <c r="C750" s="28"/>
    </row>
    <row r="751">
      <c r="A751" s="12"/>
      <c r="B751" s="25"/>
      <c r="C751" s="28"/>
    </row>
    <row r="752">
      <c r="A752" s="12"/>
      <c r="B752" s="25"/>
      <c r="C752" s="28"/>
    </row>
    <row r="753">
      <c r="A753" s="12"/>
      <c r="B753" s="25"/>
      <c r="C753" s="28"/>
    </row>
    <row r="754">
      <c r="A754" s="12"/>
      <c r="B754" s="25"/>
      <c r="C754" s="28"/>
    </row>
    <row r="755">
      <c r="A755" s="12"/>
      <c r="B755" s="25"/>
      <c r="C755" s="28"/>
    </row>
    <row r="756">
      <c r="A756" s="12"/>
      <c r="B756" s="25"/>
      <c r="C756" s="28"/>
    </row>
    <row r="757">
      <c r="A757" s="12"/>
      <c r="B757" s="25"/>
      <c r="C757" s="28"/>
    </row>
    <row r="758">
      <c r="A758" s="12"/>
      <c r="B758" s="25"/>
      <c r="C758" s="28"/>
    </row>
    <row r="759">
      <c r="A759" s="12"/>
      <c r="B759" s="25"/>
      <c r="C759" s="28"/>
    </row>
    <row r="760">
      <c r="A760" s="12"/>
      <c r="B760" s="25"/>
      <c r="C760" s="28"/>
    </row>
    <row r="761">
      <c r="A761" s="12"/>
      <c r="B761" s="25"/>
      <c r="C761" s="28"/>
    </row>
    <row r="762">
      <c r="A762" s="12"/>
      <c r="B762" s="25"/>
      <c r="C762" s="28"/>
    </row>
    <row r="763">
      <c r="A763" s="12"/>
      <c r="B763" s="25"/>
      <c r="C763" s="28"/>
    </row>
    <row r="764">
      <c r="A764" s="12"/>
      <c r="B764" s="25"/>
      <c r="C764" s="28"/>
    </row>
    <row r="765">
      <c r="A765" s="12"/>
      <c r="B765" s="25"/>
      <c r="C765" s="28"/>
    </row>
    <row r="766">
      <c r="A766" s="12"/>
      <c r="B766" s="25"/>
      <c r="C766" s="28"/>
    </row>
    <row r="767">
      <c r="A767" s="12"/>
      <c r="B767" s="25"/>
      <c r="C767" s="28"/>
    </row>
    <row r="768">
      <c r="A768" s="12"/>
      <c r="B768" s="25"/>
      <c r="C768" s="28"/>
    </row>
    <row r="769">
      <c r="A769" s="12"/>
      <c r="B769" s="25"/>
      <c r="C769" s="28"/>
    </row>
    <row r="770">
      <c r="A770" s="12"/>
      <c r="B770" s="25"/>
      <c r="C770" s="28"/>
    </row>
    <row r="771">
      <c r="A771" s="12"/>
      <c r="B771" s="25"/>
      <c r="C771" s="28"/>
    </row>
    <row r="772">
      <c r="A772" s="12"/>
      <c r="B772" s="25"/>
      <c r="C772" s="28"/>
    </row>
    <row r="773">
      <c r="A773" s="12"/>
      <c r="B773" s="25"/>
      <c r="C773" s="28"/>
    </row>
    <row r="774">
      <c r="A774" s="12"/>
      <c r="B774" s="25"/>
      <c r="C774" s="28"/>
    </row>
    <row r="775">
      <c r="A775" s="12"/>
      <c r="B775" s="25"/>
      <c r="C775" s="28"/>
    </row>
    <row r="776">
      <c r="A776" s="12"/>
      <c r="B776" s="25"/>
      <c r="C776" s="28"/>
    </row>
    <row r="777">
      <c r="A777" s="12"/>
      <c r="B777" s="25"/>
      <c r="C777" s="28"/>
    </row>
    <row r="778">
      <c r="A778" s="12"/>
      <c r="B778" s="25"/>
      <c r="C778" s="28"/>
    </row>
    <row r="779">
      <c r="A779" s="12"/>
      <c r="B779" s="25"/>
      <c r="C779" s="28"/>
    </row>
    <row r="780">
      <c r="A780" s="12"/>
      <c r="B780" s="25"/>
      <c r="C780" s="28"/>
    </row>
    <row r="781">
      <c r="A781" s="12"/>
      <c r="B781" s="25"/>
      <c r="C781" s="28"/>
    </row>
    <row r="782">
      <c r="A782" s="12"/>
      <c r="B782" s="25"/>
      <c r="C782" s="28"/>
    </row>
    <row r="783">
      <c r="A783" s="12"/>
      <c r="B783" s="25"/>
      <c r="C783" s="28"/>
    </row>
    <row r="784">
      <c r="A784" s="12"/>
      <c r="B784" s="25"/>
      <c r="C784" s="28"/>
    </row>
    <row r="785">
      <c r="A785" s="12"/>
      <c r="B785" s="25"/>
      <c r="C785" s="28"/>
    </row>
    <row r="786">
      <c r="A786" s="12"/>
      <c r="B786" s="25"/>
      <c r="C786" s="28"/>
    </row>
    <row r="787">
      <c r="A787" s="12"/>
      <c r="B787" s="25"/>
      <c r="C787" s="28"/>
    </row>
    <row r="788">
      <c r="A788" s="12"/>
      <c r="B788" s="25"/>
      <c r="C788" s="28"/>
    </row>
    <row r="789">
      <c r="A789" s="12"/>
      <c r="B789" s="25"/>
      <c r="C789" s="28"/>
    </row>
    <row r="790">
      <c r="A790" s="12"/>
      <c r="B790" s="25"/>
      <c r="C790" s="28"/>
    </row>
    <row r="791">
      <c r="A791" s="12"/>
      <c r="B791" s="25"/>
      <c r="C791" s="28"/>
    </row>
    <row r="792">
      <c r="A792" s="12"/>
      <c r="B792" s="25"/>
      <c r="C792" s="28"/>
    </row>
    <row r="793">
      <c r="A793" s="12"/>
      <c r="B793" s="25"/>
      <c r="C793" s="28"/>
    </row>
    <row r="794">
      <c r="A794" s="12"/>
      <c r="B794" s="25"/>
      <c r="C794" s="28"/>
    </row>
    <row r="795">
      <c r="A795" s="12"/>
      <c r="B795" s="25"/>
      <c r="C795" s="28"/>
    </row>
    <row r="796">
      <c r="A796" s="12"/>
      <c r="B796" s="25"/>
      <c r="C796" s="28"/>
    </row>
    <row r="797">
      <c r="A797" s="12"/>
      <c r="B797" s="25"/>
      <c r="C797" s="28"/>
    </row>
    <row r="798">
      <c r="A798" s="12"/>
      <c r="B798" s="25"/>
      <c r="C798" s="28"/>
    </row>
    <row r="799">
      <c r="A799" s="12"/>
      <c r="B799" s="25"/>
      <c r="C799" s="28"/>
    </row>
    <row r="800">
      <c r="A800" s="12"/>
      <c r="B800" s="25"/>
      <c r="C800" s="28"/>
    </row>
    <row r="801">
      <c r="A801" s="12"/>
      <c r="B801" s="25"/>
      <c r="C801" s="28"/>
    </row>
    <row r="802">
      <c r="A802" s="12"/>
      <c r="B802" s="25"/>
      <c r="C802" s="28"/>
    </row>
    <row r="803">
      <c r="A803" s="12"/>
      <c r="B803" s="25"/>
      <c r="C803" s="28"/>
    </row>
    <row r="804">
      <c r="A804" s="12"/>
      <c r="B804" s="25"/>
      <c r="C804" s="28"/>
    </row>
    <row r="805">
      <c r="A805" s="12"/>
      <c r="B805" s="25"/>
      <c r="C805" s="28"/>
    </row>
    <row r="806">
      <c r="A806" s="12"/>
      <c r="B806" s="25"/>
      <c r="C806" s="28"/>
    </row>
    <row r="807">
      <c r="A807" s="12"/>
      <c r="B807" s="25"/>
      <c r="C807" s="28"/>
    </row>
    <row r="808">
      <c r="A808" s="12"/>
      <c r="B808" s="25"/>
      <c r="C808" s="28"/>
    </row>
    <row r="809">
      <c r="A809" s="12"/>
      <c r="B809" s="25"/>
      <c r="C809" s="28"/>
    </row>
    <row r="810">
      <c r="A810" s="12"/>
      <c r="B810" s="25"/>
      <c r="C810" s="28"/>
    </row>
    <row r="811">
      <c r="A811" s="12"/>
      <c r="B811" s="25"/>
      <c r="C811" s="28"/>
    </row>
    <row r="812">
      <c r="A812" s="12"/>
      <c r="B812" s="25"/>
      <c r="C812" s="28"/>
    </row>
    <row r="813">
      <c r="A813" s="12"/>
      <c r="B813" s="25"/>
      <c r="C813" s="28"/>
    </row>
    <row r="814">
      <c r="A814" s="12"/>
      <c r="B814" s="25"/>
      <c r="C814" s="28"/>
    </row>
    <row r="815">
      <c r="A815" s="12"/>
      <c r="B815" s="25"/>
      <c r="C815" s="28"/>
    </row>
    <row r="816">
      <c r="A816" s="12"/>
      <c r="B816" s="25"/>
      <c r="C816" s="28"/>
    </row>
    <row r="817">
      <c r="A817" s="12"/>
      <c r="B817" s="25"/>
      <c r="C817" s="28"/>
    </row>
    <row r="818">
      <c r="A818" s="12"/>
      <c r="B818" s="25"/>
      <c r="C818" s="28"/>
    </row>
    <row r="819">
      <c r="A819" s="12"/>
      <c r="B819" s="25"/>
      <c r="C819" s="28"/>
    </row>
    <row r="820">
      <c r="A820" s="12"/>
      <c r="B820" s="25"/>
      <c r="C820" s="28"/>
    </row>
    <row r="821">
      <c r="A821" s="12"/>
      <c r="B821" s="25"/>
      <c r="C821" s="28"/>
    </row>
    <row r="822">
      <c r="A822" s="12"/>
      <c r="B822" s="25"/>
      <c r="C822" s="28"/>
    </row>
    <row r="823">
      <c r="A823" s="12"/>
      <c r="B823" s="25"/>
      <c r="C823" s="28"/>
    </row>
    <row r="824">
      <c r="A824" s="12"/>
      <c r="B824" s="25"/>
      <c r="C824" s="28"/>
    </row>
    <row r="825">
      <c r="A825" s="12"/>
      <c r="B825" s="25"/>
      <c r="C825" s="28"/>
    </row>
    <row r="826">
      <c r="A826" s="12"/>
      <c r="B826" s="25"/>
      <c r="C826" s="28"/>
    </row>
    <row r="827">
      <c r="A827" s="12"/>
      <c r="B827" s="25"/>
      <c r="C827" s="28"/>
    </row>
    <row r="828">
      <c r="A828" s="12"/>
      <c r="B828" s="25"/>
      <c r="C828" s="28"/>
    </row>
    <row r="829">
      <c r="A829" s="12"/>
      <c r="B829" s="25"/>
      <c r="C829" s="28"/>
    </row>
    <row r="830">
      <c r="A830" s="12"/>
      <c r="B830" s="25"/>
      <c r="C830" s="28"/>
    </row>
    <row r="831">
      <c r="A831" s="12"/>
      <c r="B831" s="25"/>
      <c r="C831" s="28"/>
    </row>
    <row r="832">
      <c r="A832" s="12"/>
      <c r="B832" s="25"/>
      <c r="C832" s="28"/>
    </row>
    <row r="833">
      <c r="A833" s="12"/>
      <c r="B833" s="25"/>
      <c r="C833" s="28"/>
    </row>
    <row r="834">
      <c r="A834" s="12"/>
      <c r="B834" s="25"/>
      <c r="C834" s="28"/>
    </row>
    <row r="835">
      <c r="A835" s="12"/>
      <c r="B835" s="25"/>
      <c r="C835" s="28"/>
    </row>
    <row r="836">
      <c r="A836" s="12"/>
      <c r="B836" s="25"/>
      <c r="C836" s="28"/>
    </row>
    <row r="837">
      <c r="A837" s="12"/>
      <c r="B837" s="25"/>
      <c r="C837" s="28"/>
    </row>
    <row r="838">
      <c r="A838" s="12"/>
      <c r="B838" s="25"/>
      <c r="C838" s="28"/>
    </row>
    <row r="839">
      <c r="A839" s="12"/>
      <c r="B839" s="25"/>
      <c r="C839" s="28"/>
    </row>
    <row r="840">
      <c r="A840" s="12"/>
      <c r="B840" s="25"/>
      <c r="C840" s="28"/>
    </row>
    <row r="841">
      <c r="A841" s="12"/>
      <c r="B841" s="25"/>
      <c r="C841" s="28"/>
    </row>
    <row r="842">
      <c r="A842" s="12"/>
      <c r="B842" s="25"/>
      <c r="C842" s="28"/>
    </row>
    <row r="843">
      <c r="A843" s="12"/>
      <c r="B843" s="25"/>
      <c r="C843" s="28"/>
    </row>
    <row r="844">
      <c r="A844" s="12"/>
      <c r="B844" s="25"/>
      <c r="C844" s="28"/>
    </row>
    <row r="845">
      <c r="A845" s="12"/>
      <c r="B845" s="25"/>
      <c r="C845" s="28"/>
    </row>
    <row r="846">
      <c r="A846" s="12"/>
      <c r="B846" s="25"/>
      <c r="C846" s="28"/>
    </row>
    <row r="847">
      <c r="A847" s="12"/>
      <c r="B847" s="25"/>
      <c r="C847" s="28"/>
    </row>
    <row r="848">
      <c r="A848" s="12"/>
      <c r="B848" s="25"/>
      <c r="C848" s="28"/>
    </row>
    <row r="849">
      <c r="A849" s="12"/>
      <c r="B849" s="25"/>
      <c r="C849" s="28"/>
    </row>
    <row r="850">
      <c r="A850" s="12"/>
      <c r="B850" s="25"/>
      <c r="C850" s="28"/>
    </row>
    <row r="851">
      <c r="A851" s="12"/>
      <c r="B851" s="25"/>
      <c r="C851" s="28"/>
    </row>
    <row r="852">
      <c r="A852" s="12"/>
      <c r="B852" s="25"/>
      <c r="C852" s="28"/>
    </row>
    <row r="853">
      <c r="A853" s="12"/>
      <c r="B853" s="25"/>
      <c r="C853" s="28"/>
    </row>
    <row r="854">
      <c r="A854" s="12"/>
      <c r="B854" s="25"/>
      <c r="C854" s="28"/>
    </row>
    <row r="855">
      <c r="A855" s="12"/>
      <c r="B855" s="25"/>
      <c r="C855" s="28"/>
    </row>
    <row r="856">
      <c r="A856" s="12"/>
      <c r="B856" s="25"/>
      <c r="C856" s="28"/>
    </row>
    <row r="857">
      <c r="A857" s="12"/>
      <c r="B857" s="25"/>
      <c r="C857" s="28"/>
    </row>
    <row r="858">
      <c r="A858" s="12"/>
      <c r="B858" s="25"/>
      <c r="C858" s="28"/>
    </row>
    <row r="859">
      <c r="A859" s="12"/>
      <c r="B859" s="25"/>
      <c r="C859" s="28"/>
    </row>
    <row r="860">
      <c r="A860" s="12"/>
      <c r="B860" s="25"/>
      <c r="C860" s="28"/>
    </row>
    <row r="861">
      <c r="A861" s="12"/>
      <c r="B861" s="25"/>
      <c r="C861" s="28"/>
    </row>
    <row r="862">
      <c r="A862" s="12"/>
      <c r="B862" s="25"/>
      <c r="C862" s="28"/>
    </row>
    <row r="863">
      <c r="A863" s="12"/>
      <c r="B863" s="25"/>
      <c r="C863" s="28"/>
    </row>
    <row r="864">
      <c r="A864" s="12"/>
      <c r="B864" s="25"/>
      <c r="C864" s="28"/>
    </row>
    <row r="865">
      <c r="A865" s="12"/>
      <c r="B865" s="25"/>
      <c r="C865" s="28"/>
    </row>
    <row r="866">
      <c r="A866" s="12"/>
      <c r="B866" s="25"/>
      <c r="C866" s="28"/>
    </row>
    <row r="867">
      <c r="A867" s="12"/>
      <c r="B867" s="25"/>
      <c r="C867" s="28"/>
    </row>
    <row r="868">
      <c r="A868" s="12"/>
      <c r="B868" s="25"/>
      <c r="C868" s="28"/>
    </row>
    <row r="869">
      <c r="A869" s="12"/>
      <c r="B869" s="25"/>
      <c r="C869" s="28"/>
    </row>
    <row r="870">
      <c r="A870" s="12"/>
      <c r="B870" s="25"/>
      <c r="C870" s="28"/>
    </row>
    <row r="871">
      <c r="A871" s="12"/>
      <c r="B871" s="25"/>
      <c r="C871" s="28"/>
    </row>
    <row r="872">
      <c r="A872" s="12"/>
      <c r="B872" s="25"/>
      <c r="C872" s="28"/>
    </row>
    <row r="873">
      <c r="A873" s="12"/>
      <c r="B873" s="25"/>
      <c r="C873" s="28"/>
    </row>
    <row r="874">
      <c r="A874" s="12"/>
      <c r="B874" s="25"/>
      <c r="C874" s="28"/>
    </row>
    <row r="875">
      <c r="A875" s="12"/>
      <c r="B875" s="25"/>
      <c r="C875" s="28"/>
    </row>
    <row r="876">
      <c r="A876" s="12"/>
      <c r="B876" s="25"/>
      <c r="C876" s="28"/>
    </row>
    <row r="877">
      <c r="A877" s="12"/>
      <c r="B877" s="25"/>
      <c r="C877" s="28"/>
    </row>
    <row r="878">
      <c r="A878" s="12"/>
      <c r="B878" s="25"/>
      <c r="C878" s="28"/>
    </row>
    <row r="879">
      <c r="A879" s="12"/>
      <c r="B879" s="25"/>
      <c r="C879" s="28"/>
    </row>
    <row r="880">
      <c r="A880" s="12"/>
      <c r="B880" s="25"/>
      <c r="C880" s="28"/>
    </row>
    <row r="881">
      <c r="A881" s="12"/>
      <c r="B881" s="25"/>
      <c r="C881" s="28"/>
    </row>
    <row r="882">
      <c r="A882" s="12"/>
      <c r="B882" s="25"/>
      <c r="C882" s="28"/>
    </row>
    <row r="883">
      <c r="A883" s="12"/>
      <c r="B883" s="25"/>
      <c r="C883" s="28"/>
    </row>
    <row r="884">
      <c r="A884" s="12"/>
      <c r="B884" s="25"/>
      <c r="C884" s="28"/>
    </row>
    <row r="885">
      <c r="A885" s="12"/>
      <c r="B885" s="25"/>
      <c r="C885" s="28"/>
    </row>
    <row r="886">
      <c r="A886" s="12"/>
      <c r="B886" s="25"/>
      <c r="C886" s="28"/>
    </row>
    <row r="887">
      <c r="A887" s="12"/>
      <c r="B887" s="25"/>
      <c r="C887" s="28"/>
    </row>
    <row r="888">
      <c r="A888" s="12"/>
      <c r="B888" s="25"/>
      <c r="C888" s="28"/>
    </row>
    <row r="889">
      <c r="A889" s="12"/>
      <c r="B889" s="25"/>
      <c r="C889" s="28"/>
    </row>
    <row r="890">
      <c r="A890" s="12"/>
      <c r="B890" s="25"/>
      <c r="C890" s="28"/>
    </row>
    <row r="891">
      <c r="A891" s="12"/>
      <c r="B891" s="25"/>
      <c r="C891" s="28"/>
    </row>
    <row r="892">
      <c r="A892" s="12"/>
      <c r="B892" s="25"/>
      <c r="C892" s="28"/>
    </row>
    <row r="893">
      <c r="A893" s="12"/>
      <c r="B893" s="25"/>
      <c r="C893" s="28"/>
    </row>
    <row r="894">
      <c r="A894" s="12"/>
      <c r="B894" s="25"/>
      <c r="C894" s="28"/>
    </row>
    <row r="895">
      <c r="A895" s="12"/>
      <c r="B895" s="25"/>
      <c r="C895" s="28"/>
    </row>
    <row r="896">
      <c r="A896" s="12"/>
      <c r="B896" s="25"/>
      <c r="C896" s="28"/>
    </row>
    <row r="897">
      <c r="A897" s="12"/>
      <c r="B897" s="25"/>
      <c r="C897" s="28"/>
    </row>
    <row r="898">
      <c r="A898" s="12"/>
      <c r="B898" s="25"/>
      <c r="C898" s="28"/>
    </row>
    <row r="899">
      <c r="A899" s="12"/>
      <c r="B899" s="25"/>
      <c r="C899" s="28"/>
    </row>
    <row r="900">
      <c r="A900" s="12"/>
      <c r="B900" s="25"/>
      <c r="C900" s="28"/>
    </row>
    <row r="901">
      <c r="A901" s="12"/>
      <c r="B901" s="25"/>
      <c r="C901" s="28"/>
    </row>
    <row r="902">
      <c r="A902" s="12"/>
      <c r="B902" s="25"/>
      <c r="C902" s="28"/>
    </row>
    <row r="903">
      <c r="A903" s="12"/>
      <c r="B903" s="25"/>
      <c r="C903" s="28"/>
    </row>
    <row r="904">
      <c r="A904" s="12"/>
      <c r="B904" s="25"/>
      <c r="C904" s="28"/>
    </row>
    <row r="905">
      <c r="A905" s="12"/>
      <c r="B905" s="25"/>
      <c r="C905" s="28"/>
    </row>
    <row r="906">
      <c r="A906" s="12"/>
      <c r="B906" s="25"/>
      <c r="C906" s="28"/>
    </row>
    <row r="907">
      <c r="A907" s="12"/>
      <c r="B907" s="25"/>
      <c r="C907" s="28"/>
    </row>
    <row r="908">
      <c r="A908" s="12"/>
      <c r="B908" s="25"/>
      <c r="C908" s="28"/>
    </row>
    <row r="909">
      <c r="A909" s="12"/>
      <c r="B909" s="25"/>
      <c r="C909" s="28"/>
    </row>
    <row r="910">
      <c r="A910" s="12"/>
      <c r="B910" s="25"/>
      <c r="C910" s="28"/>
    </row>
    <row r="911">
      <c r="A911" s="12"/>
      <c r="B911" s="25"/>
      <c r="C911" s="28"/>
    </row>
    <row r="912">
      <c r="A912" s="12"/>
      <c r="B912" s="25"/>
      <c r="C912" s="28"/>
    </row>
    <row r="913">
      <c r="A913" s="12"/>
      <c r="B913" s="25"/>
      <c r="C913" s="28"/>
    </row>
    <row r="914">
      <c r="A914" s="12"/>
      <c r="B914" s="25"/>
      <c r="C914" s="28"/>
    </row>
    <row r="915">
      <c r="A915" s="12"/>
      <c r="B915" s="25"/>
      <c r="C915" s="28"/>
    </row>
    <row r="916">
      <c r="A916" s="12"/>
      <c r="B916" s="25"/>
      <c r="C916" s="28"/>
    </row>
    <row r="917">
      <c r="A917" s="12"/>
      <c r="B917" s="25"/>
      <c r="C917" s="28"/>
    </row>
    <row r="918">
      <c r="A918" s="12"/>
      <c r="B918" s="25"/>
      <c r="C918" s="28"/>
    </row>
    <row r="919">
      <c r="A919" s="12"/>
      <c r="B919" s="25"/>
      <c r="C919" s="28"/>
    </row>
    <row r="920">
      <c r="A920" s="12"/>
      <c r="B920" s="25"/>
      <c r="C920" s="28"/>
    </row>
    <row r="921">
      <c r="A921" s="12"/>
      <c r="B921" s="25"/>
      <c r="C921" s="28"/>
    </row>
    <row r="922">
      <c r="A922" s="12"/>
      <c r="B922" s="25"/>
      <c r="C922" s="28"/>
    </row>
    <row r="923">
      <c r="A923" s="12"/>
      <c r="B923" s="25"/>
      <c r="C923" s="28"/>
    </row>
    <row r="924">
      <c r="A924" s="12"/>
      <c r="B924" s="25"/>
      <c r="C924" s="28"/>
    </row>
    <row r="925">
      <c r="A925" s="12"/>
      <c r="B925" s="25"/>
      <c r="C925" s="28"/>
    </row>
    <row r="926">
      <c r="A926" s="12"/>
      <c r="B926" s="25"/>
      <c r="C926" s="28"/>
    </row>
    <row r="927">
      <c r="A927" s="12"/>
      <c r="B927" s="25"/>
      <c r="C927" s="28"/>
    </row>
    <row r="928">
      <c r="A928" s="12"/>
      <c r="B928" s="25"/>
      <c r="C928" s="28"/>
    </row>
    <row r="929">
      <c r="A929" s="12"/>
      <c r="B929" s="25"/>
      <c r="C929" s="28"/>
    </row>
    <row r="930">
      <c r="A930" s="12"/>
      <c r="B930" s="25"/>
      <c r="C930" s="28"/>
    </row>
    <row r="931">
      <c r="A931" s="12"/>
      <c r="B931" s="25"/>
      <c r="C931" s="28"/>
    </row>
    <row r="932">
      <c r="A932" s="12"/>
      <c r="B932" s="25"/>
      <c r="C932" s="28"/>
    </row>
    <row r="933">
      <c r="A933" s="12"/>
      <c r="B933" s="25"/>
      <c r="C933" s="28"/>
    </row>
    <row r="934">
      <c r="A934" s="12"/>
      <c r="B934" s="25"/>
      <c r="C934" s="28"/>
    </row>
    <row r="935">
      <c r="A935" s="12"/>
      <c r="B935" s="25"/>
      <c r="C935" s="28"/>
    </row>
    <row r="936">
      <c r="A936" s="12"/>
      <c r="B936" s="25"/>
      <c r="C936" s="28"/>
    </row>
    <row r="937">
      <c r="A937" s="12"/>
      <c r="B937" s="25"/>
      <c r="C937" s="28"/>
    </row>
    <row r="938">
      <c r="A938" s="12"/>
      <c r="B938" s="25"/>
      <c r="C938" s="28"/>
    </row>
    <row r="939">
      <c r="A939" s="12"/>
      <c r="B939" s="25"/>
      <c r="C939" s="28"/>
    </row>
    <row r="940">
      <c r="A940" s="12"/>
      <c r="B940" s="25"/>
      <c r="C940" s="28"/>
    </row>
    <row r="941">
      <c r="A941" s="12"/>
      <c r="B941" s="25"/>
      <c r="C941" s="28"/>
    </row>
    <row r="942">
      <c r="A942" s="12"/>
      <c r="B942" s="25"/>
      <c r="C942" s="28"/>
    </row>
    <row r="943">
      <c r="A943" s="12"/>
      <c r="B943" s="25"/>
      <c r="C943" s="28"/>
    </row>
    <row r="944">
      <c r="A944" s="12"/>
      <c r="B944" s="25"/>
      <c r="C944" s="28"/>
    </row>
    <row r="945">
      <c r="A945" s="12"/>
      <c r="B945" s="25"/>
      <c r="C945" s="28"/>
    </row>
    <row r="946">
      <c r="A946" s="12"/>
      <c r="B946" s="25"/>
      <c r="C946" s="28"/>
    </row>
    <row r="947">
      <c r="A947" s="12"/>
      <c r="B947" s="25"/>
      <c r="C947" s="28"/>
    </row>
    <row r="948">
      <c r="A948" s="12"/>
      <c r="B948" s="25"/>
      <c r="C948" s="28"/>
    </row>
    <row r="949">
      <c r="A949" s="12"/>
      <c r="B949" s="25"/>
      <c r="C949" s="28"/>
    </row>
    <row r="950">
      <c r="A950" s="12"/>
      <c r="B950" s="25"/>
      <c r="C950" s="28"/>
    </row>
    <row r="951">
      <c r="A951" s="12"/>
      <c r="B951" s="25"/>
      <c r="C951" s="28"/>
    </row>
    <row r="952">
      <c r="A952" s="12"/>
      <c r="B952" s="25"/>
      <c r="C952" s="28"/>
    </row>
    <row r="953">
      <c r="A953" s="12"/>
      <c r="B953" s="25"/>
      <c r="C953" s="28"/>
    </row>
    <row r="954">
      <c r="A954" s="12"/>
      <c r="B954" s="25"/>
      <c r="C954" s="28"/>
    </row>
    <row r="955">
      <c r="A955" s="12"/>
      <c r="B955" s="25"/>
      <c r="C955" s="28"/>
    </row>
    <row r="956">
      <c r="A956" s="12"/>
      <c r="B956" s="25"/>
      <c r="C956" s="28"/>
    </row>
    <row r="957">
      <c r="A957" s="12"/>
      <c r="B957" s="25"/>
      <c r="C957" s="28"/>
    </row>
    <row r="958">
      <c r="A958" s="12"/>
      <c r="B958" s="25"/>
      <c r="C958" s="28"/>
    </row>
    <row r="959">
      <c r="A959" s="12"/>
      <c r="B959" s="25"/>
      <c r="C959" s="28"/>
    </row>
    <row r="960">
      <c r="A960" s="12"/>
      <c r="B960" s="25"/>
      <c r="C960" s="28"/>
    </row>
    <row r="961">
      <c r="A961" s="12"/>
      <c r="B961" s="25"/>
      <c r="C961" s="28"/>
    </row>
    <row r="962">
      <c r="A962" s="12"/>
      <c r="B962" s="25"/>
      <c r="C962" s="28"/>
    </row>
    <row r="963">
      <c r="A963" s="12"/>
      <c r="B963" s="25"/>
      <c r="C963" s="28"/>
    </row>
    <row r="964">
      <c r="A964" s="12"/>
      <c r="B964" s="25"/>
      <c r="C964" s="28"/>
    </row>
    <row r="965">
      <c r="A965" s="12"/>
      <c r="B965" s="25"/>
      <c r="C965" s="28"/>
    </row>
    <row r="966">
      <c r="A966" s="12"/>
      <c r="B966" s="25"/>
      <c r="C966" s="28"/>
    </row>
    <row r="967">
      <c r="A967" s="12"/>
      <c r="B967" s="25"/>
      <c r="C967" s="28"/>
    </row>
    <row r="968">
      <c r="A968" s="12"/>
      <c r="B968" s="25"/>
      <c r="C968" s="28"/>
    </row>
    <row r="969">
      <c r="A969" s="12"/>
      <c r="B969" s="25"/>
      <c r="C969" s="28"/>
    </row>
    <row r="970">
      <c r="A970" s="12"/>
      <c r="B970" s="25"/>
      <c r="C970" s="28"/>
    </row>
    <row r="971">
      <c r="A971" s="12"/>
      <c r="B971" s="25"/>
      <c r="C971" s="28"/>
    </row>
    <row r="972">
      <c r="A972" s="12"/>
      <c r="B972" s="25"/>
      <c r="C972" s="28"/>
    </row>
    <row r="973">
      <c r="A973" s="12"/>
      <c r="B973" s="25"/>
      <c r="C973" s="28"/>
    </row>
    <row r="974">
      <c r="A974" s="12"/>
      <c r="B974" s="25"/>
      <c r="C974" s="28"/>
    </row>
    <row r="975">
      <c r="A975" s="12"/>
      <c r="B975" s="25"/>
      <c r="C975" s="28"/>
    </row>
    <row r="976">
      <c r="A976" s="12"/>
      <c r="B976" s="25"/>
      <c r="C976" s="28"/>
    </row>
    <row r="977">
      <c r="A977" s="12"/>
      <c r="B977" s="25"/>
      <c r="C977" s="28"/>
    </row>
    <row r="978">
      <c r="A978" s="12"/>
      <c r="B978" s="25"/>
      <c r="C978" s="28"/>
    </row>
    <row r="979">
      <c r="A979" s="12"/>
      <c r="B979" s="25"/>
      <c r="C979" s="28"/>
    </row>
    <row r="980">
      <c r="A980" s="12"/>
      <c r="B980" s="25"/>
      <c r="C980" s="28"/>
    </row>
    <row r="981">
      <c r="A981" s="12"/>
      <c r="B981" s="25"/>
      <c r="C981" s="28"/>
    </row>
    <row r="982">
      <c r="A982" s="12"/>
      <c r="B982" s="25"/>
      <c r="C982" s="28"/>
    </row>
    <row r="983">
      <c r="A983" s="12"/>
      <c r="B983" s="25"/>
      <c r="C983" s="28"/>
    </row>
    <row r="984">
      <c r="A984" s="12"/>
      <c r="B984" s="25"/>
      <c r="C984" s="28"/>
    </row>
    <row r="985">
      <c r="A985" s="12"/>
      <c r="B985" s="25"/>
      <c r="C985" s="28"/>
    </row>
    <row r="986">
      <c r="A986" s="12"/>
      <c r="B986" s="25"/>
      <c r="C986" s="28"/>
    </row>
    <row r="987">
      <c r="A987" s="12"/>
      <c r="B987" s="25"/>
      <c r="C987" s="28"/>
    </row>
    <row r="988">
      <c r="A988" s="12"/>
      <c r="B988" s="25"/>
      <c r="C988" s="28"/>
    </row>
    <row r="989">
      <c r="A989" s="12"/>
      <c r="B989" s="25"/>
      <c r="C989" s="28"/>
    </row>
    <row r="990">
      <c r="A990" s="12"/>
      <c r="B990" s="25"/>
      <c r="C990" s="28"/>
    </row>
    <row r="991">
      <c r="A991" s="12"/>
      <c r="B991" s="25"/>
      <c r="C991" s="28"/>
    </row>
    <row r="992">
      <c r="A992" s="12"/>
      <c r="B992" s="25"/>
      <c r="C992" s="28"/>
    </row>
    <row r="993">
      <c r="A993" s="12"/>
      <c r="B993" s="25"/>
      <c r="C993" s="28"/>
    </row>
    <row r="994">
      <c r="A994" s="12"/>
      <c r="B994" s="25"/>
      <c r="C994" s="28"/>
    </row>
    <row r="995">
      <c r="A995" s="12"/>
      <c r="B995" s="25"/>
      <c r="C995" s="28"/>
    </row>
    <row r="996">
      <c r="A996" s="12"/>
      <c r="B996" s="25"/>
      <c r="C996" s="28"/>
    </row>
    <row r="997">
      <c r="A997" s="12"/>
      <c r="B997" s="25"/>
      <c r="C997" s="28"/>
    </row>
    <row r="998">
      <c r="A998" s="12"/>
      <c r="B998" s="25"/>
      <c r="C998" s="28"/>
    </row>
    <row r="999">
      <c r="B999" s="25"/>
      <c r="C999" s="28"/>
    </row>
  </sheetData>
  <mergeCells count="3">
    <mergeCell ref="E1:F1"/>
    <mergeCell ref="E3:F3"/>
    <mergeCell ref="E10:G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8" t="s">
        <v>67</v>
      </c>
      <c r="C1" s="49" t="s">
        <v>69</v>
      </c>
      <c r="E1" s="50" t="s">
        <v>97</v>
      </c>
      <c r="G1" s="51"/>
      <c r="H1" s="51"/>
      <c r="I1" s="51"/>
      <c r="J1" s="51"/>
      <c r="K1" s="51"/>
      <c r="L1" s="51"/>
      <c r="M1" s="51"/>
    </row>
    <row r="2">
      <c r="A2" s="41" t="s">
        <v>9</v>
      </c>
      <c r="B2" s="25">
        <v>-0.08321191516917603</v>
      </c>
      <c r="C2" s="49">
        <v>-0.020186425697206523</v>
      </c>
      <c r="E2" s="51"/>
      <c r="F2" s="51"/>
      <c r="G2" s="51"/>
      <c r="H2" s="51"/>
      <c r="I2" s="51"/>
      <c r="J2" s="51"/>
      <c r="K2" s="51"/>
      <c r="L2" s="51"/>
      <c r="M2" s="51"/>
    </row>
    <row r="3">
      <c r="A3" s="41" t="s">
        <v>10</v>
      </c>
      <c r="B3" s="25">
        <v>-0.0492535016161304</v>
      </c>
      <c r="C3" s="49">
        <v>-0.004433020575988711</v>
      </c>
      <c r="E3" s="52" t="s">
        <v>98</v>
      </c>
      <c r="F3" s="53"/>
      <c r="G3" s="51"/>
      <c r="H3" s="51"/>
      <c r="I3" s="51"/>
      <c r="J3" s="51"/>
      <c r="K3" s="51"/>
      <c r="L3" s="51"/>
      <c r="M3" s="51"/>
    </row>
    <row r="4">
      <c r="A4" s="41" t="s">
        <v>11</v>
      </c>
      <c r="B4" s="25">
        <v>0.03603890926487008</v>
      </c>
      <c r="C4" s="49">
        <v>0.0107282294033062</v>
      </c>
      <c r="E4" s="50" t="s">
        <v>99</v>
      </c>
      <c r="F4" s="54">
        <v>0.52</v>
      </c>
      <c r="G4" s="51"/>
      <c r="H4" s="51"/>
      <c r="I4" s="51"/>
      <c r="J4" s="51"/>
      <c r="K4" s="51"/>
      <c r="L4" s="51"/>
      <c r="M4" s="51"/>
    </row>
    <row r="5">
      <c r="A5" s="41" t="s">
        <v>12</v>
      </c>
      <c r="B5" s="25">
        <v>-0.012440944881889737</v>
      </c>
      <c r="C5" s="49">
        <v>-0.013866970558112035</v>
      </c>
      <c r="E5" s="50" t="s">
        <v>100</v>
      </c>
      <c r="F5" s="54">
        <v>0.27</v>
      </c>
      <c r="G5" s="51"/>
      <c r="H5" s="51"/>
      <c r="I5" s="51"/>
      <c r="J5" s="51"/>
      <c r="K5" s="51"/>
      <c r="L5" s="51"/>
      <c r="M5" s="51"/>
    </row>
    <row r="6">
      <c r="A6" s="41" t="s">
        <v>13</v>
      </c>
      <c r="B6" s="25">
        <v>0.03420195439739415</v>
      </c>
      <c r="C6" s="49">
        <v>-9.698761930700961E-4</v>
      </c>
      <c r="E6" s="50" t="s">
        <v>101</v>
      </c>
      <c r="F6" s="54">
        <v>0.26</v>
      </c>
      <c r="G6" s="51"/>
      <c r="H6" s="51"/>
      <c r="I6" s="51"/>
      <c r="J6" s="51"/>
      <c r="K6" s="51"/>
      <c r="L6" s="51"/>
      <c r="M6" s="51"/>
    </row>
    <row r="7">
      <c r="A7" s="41" t="s">
        <v>14</v>
      </c>
      <c r="B7" s="25">
        <v>-0.04968271165454263</v>
      </c>
      <c r="C7" s="49">
        <v>0.003386541461996906</v>
      </c>
      <c r="E7" s="50" t="s">
        <v>102</v>
      </c>
      <c r="F7" s="54">
        <v>0.05</v>
      </c>
      <c r="G7" s="51"/>
      <c r="H7" s="51"/>
      <c r="I7" s="51"/>
      <c r="J7" s="51"/>
      <c r="K7" s="51"/>
      <c r="L7" s="51"/>
      <c r="M7" s="51"/>
    </row>
    <row r="8">
      <c r="A8" s="41" t="s">
        <v>15</v>
      </c>
      <c r="B8" s="25">
        <v>0.010162601626016343</v>
      </c>
      <c r="C8" s="49">
        <v>-0.003515845078033153</v>
      </c>
      <c r="E8" s="55" t="s">
        <v>103</v>
      </c>
      <c r="F8" s="56">
        <v>51.0</v>
      </c>
      <c r="G8" s="51"/>
      <c r="H8" s="51"/>
      <c r="I8" s="51"/>
      <c r="J8" s="51"/>
      <c r="K8" s="51"/>
      <c r="L8" s="51"/>
      <c r="M8" s="51"/>
    </row>
    <row r="9">
      <c r="A9" s="41" t="s">
        <v>16</v>
      </c>
      <c r="B9" s="25">
        <v>-0.0233623453962436</v>
      </c>
      <c r="C9" s="49">
        <v>-0.003771022697910409</v>
      </c>
      <c r="E9" s="51"/>
      <c r="F9" s="51"/>
      <c r="G9" s="51"/>
      <c r="H9" s="51"/>
      <c r="I9" s="51"/>
      <c r="J9" s="51"/>
      <c r="K9" s="51"/>
      <c r="L9" s="51"/>
      <c r="M9" s="51"/>
    </row>
    <row r="10">
      <c r="A10" s="41" t="s">
        <v>17</v>
      </c>
      <c r="B10" s="25">
        <v>0.041839007317849175</v>
      </c>
      <c r="C10" s="49">
        <v>0.015719249336951124</v>
      </c>
      <c r="E10" s="50" t="s">
        <v>104</v>
      </c>
      <c r="H10" s="51"/>
      <c r="I10" s="51"/>
      <c r="J10" s="51"/>
      <c r="K10" s="51"/>
      <c r="L10" s="51"/>
      <c r="M10" s="51"/>
    </row>
    <row r="11">
      <c r="A11" s="41" t="s">
        <v>18</v>
      </c>
      <c r="B11" s="25">
        <v>0.038493309102924034</v>
      </c>
      <c r="C11" s="49">
        <v>-0.01031322060508455</v>
      </c>
      <c r="E11" s="57"/>
      <c r="F11" s="52" t="s">
        <v>105</v>
      </c>
      <c r="G11" s="52" t="s">
        <v>106</v>
      </c>
      <c r="H11" s="52" t="s">
        <v>107</v>
      </c>
      <c r="I11" s="52" t="s">
        <v>108</v>
      </c>
      <c r="J11" s="52" t="s">
        <v>109</v>
      </c>
      <c r="K11" s="51"/>
      <c r="L11" s="51"/>
      <c r="M11" s="51"/>
    </row>
    <row r="12">
      <c r="A12" s="41" t="s">
        <v>19</v>
      </c>
      <c r="B12" s="25">
        <v>0.0378943758573389</v>
      </c>
      <c r="C12" s="49">
        <v>0.013964445094739819</v>
      </c>
      <c r="E12" s="50" t="s">
        <v>110</v>
      </c>
      <c r="F12" s="54">
        <v>1.0</v>
      </c>
      <c r="G12" s="54">
        <v>0.04</v>
      </c>
      <c r="H12" s="54">
        <v>0.04</v>
      </c>
      <c r="I12" s="54">
        <v>18.43</v>
      </c>
      <c r="J12" s="54">
        <v>0.0</v>
      </c>
      <c r="K12" s="51"/>
      <c r="L12" s="51"/>
      <c r="M12" s="51"/>
    </row>
    <row r="13">
      <c r="A13" s="41" t="s">
        <v>20</v>
      </c>
      <c r="B13" s="25">
        <v>-0.1299418170968223</v>
      </c>
      <c r="C13" s="49">
        <v>0.001038461144123426</v>
      </c>
      <c r="E13" s="50" t="s">
        <v>111</v>
      </c>
      <c r="F13" s="54">
        <v>49.0</v>
      </c>
      <c r="G13" s="54">
        <v>0.11</v>
      </c>
      <c r="H13" s="54">
        <v>0.0</v>
      </c>
      <c r="I13" s="51"/>
      <c r="J13" s="51"/>
      <c r="K13" s="51"/>
      <c r="L13" s="51"/>
      <c r="M13" s="51"/>
    </row>
    <row r="14">
      <c r="A14" s="41" t="s">
        <v>21</v>
      </c>
      <c r="B14" s="25">
        <v>0.03107214274726955</v>
      </c>
      <c r="C14" s="49">
        <v>-0.0062572775966464045</v>
      </c>
      <c r="E14" s="55" t="s">
        <v>112</v>
      </c>
      <c r="F14" s="56">
        <v>50.0</v>
      </c>
      <c r="G14" s="56">
        <v>0.15</v>
      </c>
      <c r="H14" s="58"/>
      <c r="I14" s="58"/>
      <c r="J14" s="58"/>
      <c r="K14" s="51"/>
      <c r="L14" s="51"/>
      <c r="M14" s="51"/>
    </row>
    <row r="15">
      <c r="A15" s="41" t="s">
        <v>22</v>
      </c>
      <c r="B15" s="25">
        <v>0.018965517241379404</v>
      </c>
      <c r="C15" s="49">
        <v>0.003111362239363036</v>
      </c>
      <c r="E15" s="51"/>
      <c r="F15" s="51"/>
      <c r="G15" s="51"/>
      <c r="H15" s="51"/>
      <c r="I15" s="51"/>
      <c r="J15" s="51"/>
      <c r="K15" s="51"/>
      <c r="L15" s="51"/>
      <c r="M15" s="51"/>
    </row>
    <row r="16">
      <c r="A16" s="41" t="s">
        <v>23</v>
      </c>
      <c r="B16" s="25">
        <v>0.02919825778351348</v>
      </c>
      <c r="C16" s="49">
        <v>0.037270993898218974</v>
      </c>
      <c r="E16" s="57"/>
      <c r="F16" s="52" t="s">
        <v>113</v>
      </c>
      <c r="G16" s="52" t="s">
        <v>102</v>
      </c>
      <c r="H16" s="52" t="s">
        <v>114</v>
      </c>
      <c r="I16" s="52" t="s">
        <v>115</v>
      </c>
      <c r="J16" s="52" t="s">
        <v>116</v>
      </c>
      <c r="K16" s="52" t="s">
        <v>117</v>
      </c>
      <c r="L16" s="52" t="s">
        <v>118</v>
      </c>
      <c r="M16" s="52" t="s">
        <v>119</v>
      </c>
    </row>
    <row r="17">
      <c r="A17" s="41" t="s">
        <v>24</v>
      </c>
      <c r="B17" s="25">
        <v>-0.02131354594253243</v>
      </c>
      <c r="C17" s="49">
        <v>-0.019471021411886613</v>
      </c>
      <c r="E17" s="50" t="s">
        <v>120</v>
      </c>
      <c r="F17" s="54">
        <v>-0.01</v>
      </c>
      <c r="G17" s="54">
        <v>0.01</v>
      </c>
      <c r="H17" s="54">
        <v>-1.1</v>
      </c>
      <c r="I17" s="54">
        <v>0.28</v>
      </c>
      <c r="J17" s="54">
        <v>-0.02</v>
      </c>
      <c r="K17" s="54">
        <v>0.01</v>
      </c>
      <c r="L17" s="54">
        <v>-0.02</v>
      </c>
      <c r="M17" s="54">
        <v>0.01</v>
      </c>
    </row>
    <row r="18">
      <c r="A18" s="41" t="s">
        <v>25</v>
      </c>
      <c r="B18" s="25">
        <v>0.050414593698175914</v>
      </c>
      <c r="C18" s="49">
        <v>7.891451670429817E-4</v>
      </c>
      <c r="E18" s="55" t="s">
        <v>69</v>
      </c>
      <c r="F18" s="56">
        <v>1.24</v>
      </c>
      <c r="G18" s="56">
        <v>0.29</v>
      </c>
      <c r="H18" s="56">
        <v>4.29</v>
      </c>
      <c r="I18" s="56">
        <v>0.0</v>
      </c>
      <c r="J18" s="56">
        <v>0.66</v>
      </c>
      <c r="K18" s="56">
        <v>1.82</v>
      </c>
      <c r="L18" s="56">
        <v>0.66</v>
      </c>
      <c r="M18" s="56">
        <v>1.82</v>
      </c>
    </row>
    <row r="19">
      <c r="A19" s="41" t="s">
        <v>26</v>
      </c>
      <c r="B19" s="25">
        <v>-0.05426599749058969</v>
      </c>
      <c r="C19" s="49">
        <v>-0.01628607350662259</v>
      </c>
      <c r="E19" s="51"/>
      <c r="F19" s="51"/>
      <c r="G19" s="51"/>
      <c r="H19" s="51"/>
      <c r="I19" s="51"/>
      <c r="J19" s="51"/>
      <c r="K19" s="51"/>
      <c r="L19" s="51"/>
      <c r="M19" s="51"/>
    </row>
    <row r="20">
      <c r="A20" s="41" t="s">
        <v>27</v>
      </c>
      <c r="B20" s="25">
        <v>-0.06537672236880676</v>
      </c>
      <c r="C20" s="49">
        <v>0.0071425521482870735</v>
      </c>
      <c r="E20" s="51"/>
      <c r="F20" s="51"/>
      <c r="G20" s="51"/>
      <c r="H20" s="51"/>
      <c r="I20" s="51"/>
      <c r="J20" s="51"/>
      <c r="K20" s="51"/>
      <c r="L20" s="51"/>
      <c r="M20" s="51"/>
    </row>
    <row r="21">
      <c r="A21" s="41" t="s">
        <v>28</v>
      </c>
      <c r="B21" s="25">
        <v>0.025864661654135368</v>
      </c>
      <c r="C21" s="49">
        <v>0.019159635114593065</v>
      </c>
      <c r="E21" s="51"/>
      <c r="F21" s="51"/>
      <c r="G21" s="51"/>
      <c r="H21" s="51"/>
      <c r="I21" s="51"/>
      <c r="J21" s="51"/>
      <c r="K21" s="51"/>
      <c r="L21" s="51"/>
      <c r="M21" s="51"/>
    </row>
    <row r="22">
      <c r="A22" s="41" t="s">
        <v>29</v>
      </c>
      <c r="B22" s="25">
        <v>0.032929481205343336</v>
      </c>
      <c r="C22" s="49">
        <v>0.017016379982632612</v>
      </c>
    </row>
    <row r="23">
      <c r="A23" s="41" t="s">
        <v>30</v>
      </c>
      <c r="B23" s="25">
        <v>-0.09323943661971834</v>
      </c>
      <c r="C23" s="49">
        <v>-0.024312850759180882</v>
      </c>
    </row>
    <row r="24">
      <c r="A24" s="41" t="s">
        <v>31</v>
      </c>
      <c r="B24" s="25">
        <v>0.037708272434960444</v>
      </c>
      <c r="C24" s="49">
        <v>0.0108508812860304</v>
      </c>
    </row>
    <row r="25">
      <c r="A25" s="41" t="s">
        <v>32</v>
      </c>
      <c r="B25" s="25">
        <v>-0.022292083452414957</v>
      </c>
      <c r="C25" s="49">
        <v>-0.0031000726251282362</v>
      </c>
    </row>
    <row r="26">
      <c r="A26" s="41" t="s">
        <v>33</v>
      </c>
      <c r="B26" s="25">
        <v>-0.02886483485983904</v>
      </c>
      <c r="C26" s="49">
        <v>0.01216076448637593</v>
      </c>
    </row>
    <row r="27">
      <c r="A27" s="41" t="s">
        <v>34</v>
      </c>
      <c r="B27" s="25">
        <v>-0.007164508128961078</v>
      </c>
      <c r="C27" s="49">
        <v>0.015858983260047754</v>
      </c>
    </row>
    <row r="28">
      <c r="A28" s="41" t="s">
        <v>35</v>
      </c>
      <c r="B28" s="25">
        <v>-0.044748618057383616</v>
      </c>
      <c r="C28" s="49">
        <v>0.003287793370545522</v>
      </c>
    </row>
    <row r="29">
      <c r="A29" s="41" t="s">
        <v>36</v>
      </c>
      <c r="B29" s="25">
        <v>-0.012862154086007438</v>
      </c>
      <c r="C29" s="49">
        <v>-0.0010283118212561781</v>
      </c>
    </row>
    <row r="30">
      <c r="A30" s="41" t="s">
        <v>37</v>
      </c>
      <c r="B30" s="25">
        <v>0.01839110875893102</v>
      </c>
      <c r="C30" s="49">
        <v>0.00265279543551733</v>
      </c>
    </row>
    <row r="31">
      <c r="A31" s="41" t="s">
        <v>38</v>
      </c>
      <c r="B31" s="25">
        <v>0.037474262182567</v>
      </c>
      <c r="C31" s="49">
        <v>0.00944525741652269</v>
      </c>
    </row>
    <row r="32">
      <c r="A32" s="41" t="s">
        <v>39</v>
      </c>
      <c r="B32" s="25">
        <v>-0.005867903930131146</v>
      </c>
      <c r="C32" s="49">
        <v>0.0242769729448975</v>
      </c>
    </row>
    <row r="33">
      <c r="A33" s="41" t="s">
        <v>40</v>
      </c>
      <c r="B33" s="25">
        <v>-0.021628838451268395</v>
      </c>
      <c r="C33" s="49">
        <v>-0.02357778807383104</v>
      </c>
    </row>
    <row r="34">
      <c r="A34" s="41" t="s">
        <v>41</v>
      </c>
      <c r="B34" s="25">
        <v>0.052409723197976765</v>
      </c>
      <c r="C34" s="49">
        <v>0.014586797399945173</v>
      </c>
    </row>
    <row r="35">
      <c r="A35" s="41" t="s">
        <v>42</v>
      </c>
      <c r="B35" s="25">
        <v>-0.0021031968592258865</v>
      </c>
      <c r="C35" s="49">
        <v>0.005917169216022922</v>
      </c>
    </row>
    <row r="36">
      <c r="A36" s="41" t="s">
        <v>43</v>
      </c>
      <c r="B36" s="25">
        <v>-0.049320181284990716</v>
      </c>
      <c r="C36" s="49">
        <v>-0.0031213421771362215</v>
      </c>
    </row>
    <row r="37">
      <c r="A37" s="41" t="s">
        <v>44</v>
      </c>
      <c r="B37" s="25">
        <v>0.060503251342945985</v>
      </c>
      <c r="C37" s="49">
        <v>0.01721671712778261</v>
      </c>
    </row>
    <row r="38">
      <c r="A38" s="41" t="s">
        <v>45</v>
      </c>
      <c r="B38" s="25">
        <v>0.20490546755237604</v>
      </c>
      <c r="C38" s="49">
        <v>0.03438932679160289</v>
      </c>
    </row>
    <row r="39">
      <c r="A39" s="41" t="s">
        <v>46</v>
      </c>
      <c r="B39" s="25">
        <v>-0.01228129205921935</v>
      </c>
      <c r="C39" s="49">
        <v>-0.0015275298353514266</v>
      </c>
    </row>
    <row r="40">
      <c r="A40" s="41" t="s">
        <v>47</v>
      </c>
      <c r="B40" s="25">
        <v>-0.029709435194253953</v>
      </c>
      <c r="C40" s="49">
        <v>-0.00389809944736641</v>
      </c>
    </row>
    <row r="41">
      <c r="A41" s="41" t="s">
        <v>48</v>
      </c>
      <c r="B41" s="25">
        <v>0.036372864151581696</v>
      </c>
      <c r="C41" s="49">
        <v>0.014999095013439545</v>
      </c>
    </row>
    <row r="42">
      <c r="A42" s="41" t="s">
        <v>49</v>
      </c>
      <c r="B42" s="25">
        <v>0.009564474807856493</v>
      </c>
      <c r="C42" s="49">
        <v>0.018761567651589983</v>
      </c>
    </row>
    <row r="43">
      <c r="A43" s="41" t="s">
        <v>50</v>
      </c>
      <c r="B43" s="25">
        <v>-0.048895386614684955</v>
      </c>
      <c r="C43" s="49">
        <v>-0.02610776754755495</v>
      </c>
    </row>
    <row r="44">
      <c r="A44" s="41" t="s">
        <v>51</v>
      </c>
      <c r="B44" s="25">
        <v>0.08246878846492</v>
      </c>
      <c r="C44" s="49">
        <v>0.05273405407506493</v>
      </c>
    </row>
    <row r="45">
      <c r="A45" s="41" t="s">
        <v>52</v>
      </c>
      <c r="B45" s="25">
        <v>-0.005073477956612948</v>
      </c>
      <c r="C45" s="49">
        <v>-0.004705741673070585</v>
      </c>
    </row>
    <row r="46">
      <c r="A46" s="41" t="s">
        <v>53</v>
      </c>
      <c r="B46" s="25">
        <v>0.01690090731186622</v>
      </c>
      <c r="C46" s="49">
        <v>0.02922241869539799</v>
      </c>
    </row>
    <row r="47">
      <c r="A47" s="41" t="s">
        <v>54</v>
      </c>
      <c r="B47" s="25">
        <v>0.03346203346203347</v>
      </c>
      <c r="C47" s="49">
        <v>0.04590644935355037</v>
      </c>
    </row>
    <row r="48">
      <c r="A48" s="41" t="s">
        <v>55</v>
      </c>
      <c r="B48" s="25">
        <v>0.02506596306068598</v>
      </c>
      <c r="C48" s="49">
        <v>-0.01503907997971421</v>
      </c>
    </row>
    <row r="49">
      <c r="A49" s="41" t="s">
        <v>56</v>
      </c>
      <c r="B49" s="25">
        <v>-0.04995523724261408</v>
      </c>
      <c r="C49" s="49">
        <v>0.05701132027874989</v>
      </c>
    </row>
    <row r="50">
      <c r="A50" s="41" t="s">
        <v>57</v>
      </c>
      <c r="B50" s="25">
        <v>-0.09540006478781993</v>
      </c>
      <c r="C50" s="49">
        <v>-0.09081982605080863</v>
      </c>
    </row>
    <row r="51">
      <c r="A51" s="41" t="s">
        <v>58</v>
      </c>
      <c r="B51" s="25">
        <v>-0.0684972842486421</v>
      </c>
      <c r="C51" s="49">
        <v>-0.01528347295838084</v>
      </c>
    </row>
    <row r="52">
      <c r="A52" s="41" t="s">
        <v>59</v>
      </c>
      <c r="B52" s="25">
        <v>-0.05192390215991982</v>
      </c>
      <c r="C52" s="49">
        <v>0.0050754219764708175</v>
      </c>
    </row>
    <row r="53">
      <c r="A53" s="41" t="s">
        <v>60</v>
      </c>
      <c r="B53" s="25">
        <v>-0.08350812794965923</v>
      </c>
      <c r="C53" s="49" t="e">
        <v>#DIV/0!</v>
      </c>
    </row>
    <row r="54">
      <c r="A54" s="41" t="s">
        <v>61</v>
      </c>
      <c r="B54" s="25" t="e">
        <v>#DIV/0!</v>
      </c>
      <c r="C54" s="49"/>
    </row>
    <row r="55">
      <c r="A55" s="12"/>
      <c r="B55" s="25"/>
      <c r="C55" s="28"/>
    </row>
    <row r="56">
      <c r="A56" s="12"/>
      <c r="B56" s="25"/>
      <c r="C56" s="28"/>
    </row>
    <row r="57">
      <c r="A57" s="12"/>
      <c r="B57" s="25"/>
      <c r="C57" s="28"/>
    </row>
    <row r="58">
      <c r="A58" s="12"/>
      <c r="B58" s="25"/>
      <c r="C58" s="28"/>
    </row>
    <row r="59">
      <c r="A59" s="12"/>
      <c r="B59" s="25"/>
      <c r="C59" s="28"/>
    </row>
    <row r="60">
      <c r="A60" s="12"/>
      <c r="B60" s="25"/>
      <c r="C60" s="28"/>
    </row>
    <row r="61">
      <c r="A61" s="12"/>
      <c r="B61" s="25"/>
      <c r="C61" s="28"/>
    </row>
    <row r="62">
      <c r="A62" s="12"/>
      <c r="B62" s="25"/>
      <c r="C62" s="28"/>
    </row>
    <row r="63">
      <c r="A63" s="12"/>
      <c r="B63" s="25"/>
      <c r="C63" s="28"/>
    </row>
    <row r="64">
      <c r="A64" s="12"/>
      <c r="B64" s="25"/>
      <c r="C64" s="28"/>
    </row>
    <row r="65">
      <c r="A65" s="12"/>
      <c r="B65" s="25"/>
      <c r="C65" s="28"/>
    </row>
    <row r="66">
      <c r="A66" s="12"/>
      <c r="B66" s="25"/>
      <c r="C66" s="28"/>
    </row>
    <row r="67">
      <c r="A67" s="12"/>
      <c r="B67" s="25"/>
      <c r="C67" s="28"/>
    </row>
    <row r="68">
      <c r="A68" s="12"/>
      <c r="B68" s="25"/>
      <c r="C68" s="28"/>
    </row>
    <row r="69">
      <c r="A69" s="12"/>
      <c r="B69" s="25"/>
      <c r="C69" s="28"/>
    </row>
    <row r="70">
      <c r="A70" s="12"/>
      <c r="B70" s="25"/>
      <c r="C70" s="28"/>
    </row>
    <row r="71">
      <c r="A71" s="12"/>
      <c r="B71" s="25"/>
      <c r="C71" s="28"/>
    </row>
    <row r="72">
      <c r="A72" s="12"/>
      <c r="B72" s="25"/>
      <c r="C72" s="28"/>
    </row>
    <row r="73">
      <c r="A73" s="12"/>
      <c r="B73" s="25"/>
      <c r="C73" s="28"/>
    </row>
    <row r="74">
      <c r="A74" s="12"/>
      <c r="B74" s="25"/>
      <c r="C74" s="28"/>
    </row>
    <row r="75">
      <c r="A75" s="12"/>
      <c r="B75" s="25"/>
      <c r="C75" s="28"/>
    </row>
    <row r="76">
      <c r="A76" s="12"/>
      <c r="B76" s="25"/>
      <c r="C76" s="28"/>
    </row>
    <row r="77">
      <c r="A77" s="12"/>
      <c r="B77" s="25"/>
      <c r="C77" s="28"/>
    </row>
    <row r="78">
      <c r="A78" s="12"/>
      <c r="B78" s="25"/>
      <c r="C78" s="28"/>
    </row>
    <row r="79">
      <c r="A79" s="12"/>
      <c r="B79" s="25"/>
      <c r="C79" s="28"/>
    </row>
    <row r="80">
      <c r="A80" s="12"/>
      <c r="B80" s="25"/>
      <c r="C80" s="28"/>
    </row>
    <row r="81">
      <c r="A81" s="12"/>
      <c r="B81" s="25"/>
      <c r="C81" s="28"/>
    </row>
    <row r="82">
      <c r="A82" s="12"/>
      <c r="B82" s="25"/>
      <c r="C82" s="28"/>
    </row>
    <row r="83">
      <c r="A83" s="12"/>
      <c r="B83" s="25"/>
      <c r="C83" s="28"/>
    </row>
    <row r="84">
      <c r="A84" s="12"/>
      <c r="B84" s="25"/>
      <c r="C84" s="28"/>
    </row>
    <row r="85">
      <c r="A85" s="12"/>
      <c r="B85" s="25"/>
      <c r="C85" s="28"/>
    </row>
    <row r="86">
      <c r="A86" s="12"/>
      <c r="B86" s="25"/>
      <c r="C86" s="28"/>
    </row>
    <row r="87">
      <c r="A87" s="12"/>
      <c r="B87" s="25"/>
      <c r="C87" s="28"/>
    </row>
    <row r="88">
      <c r="A88" s="12"/>
      <c r="B88" s="25"/>
      <c r="C88" s="28"/>
    </row>
    <row r="89">
      <c r="A89" s="12"/>
      <c r="B89" s="25"/>
      <c r="C89" s="28"/>
    </row>
    <row r="90">
      <c r="A90" s="12"/>
      <c r="B90" s="25"/>
      <c r="C90" s="28"/>
    </row>
    <row r="91">
      <c r="A91" s="12"/>
      <c r="B91" s="25"/>
      <c r="C91" s="28"/>
    </row>
    <row r="92">
      <c r="A92" s="12"/>
      <c r="B92" s="25"/>
      <c r="C92" s="28"/>
    </row>
    <row r="93">
      <c r="A93" s="12"/>
      <c r="B93" s="25"/>
      <c r="C93" s="28"/>
    </row>
    <row r="94">
      <c r="A94" s="12"/>
      <c r="B94" s="25"/>
      <c r="C94" s="28"/>
    </row>
    <row r="95">
      <c r="A95" s="12"/>
      <c r="B95" s="25"/>
      <c r="C95" s="28"/>
    </row>
    <row r="96">
      <c r="A96" s="12"/>
      <c r="B96" s="25"/>
      <c r="C96" s="28"/>
    </row>
    <row r="97">
      <c r="A97" s="12"/>
      <c r="B97" s="25"/>
      <c r="C97" s="28"/>
    </row>
    <row r="98">
      <c r="A98" s="12"/>
      <c r="B98" s="25"/>
      <c r="C98" s="28"/>
    </row>
    <row r="99">
      <c r="A99" s="12"/>
      <c r="B99" s="25"/>
      <c r="C99" s="28"/>
    </row>
    <row r="100">
      <c r="A100" s="12"/>
      <c r="B100" s="25"/>
      <c r="C100" s="28"/>
    </row>
    <row r="101">
      <c r="A101" s="12"/>
      <c r="B101" s="25"/>
      <c r="C101" s="28"/>
    </row>
    <row r="102">
      <c r="A102" s="12"/>
      <c r="B102" s="25"/>
      <c r="C102" s="28"/>
    </row>
    <row r="103">
      <c r="A103" s="12"/>
      <c r="B103" s="25"/>
      <c r="C103" s="28"/>
    </row>
    <row r="104">
      <c r="A104" s="12"/>
      <c r="B104" s="25"/>
      <c r="C104" s="28"/>
    </row>
    <row r="105">
      <c r="A105" s="12"/>
      <c r="B105" s="25"/>
      <c r="C105" s="28"/>
    </row>
    <row r="106">
      <c r="A106" s="12"/>
      <c r="B106" s="25"/>
      <c r="C106" s="28"/>
    </row>
    <row r="107">
      <c r="A107" s="12"/>
      <c r="B107" s="25"/>
      <c r="C107" s="28"/>
    </row>
    <row r="108">
      <c r="A108" s="12"/>
      <c r="B108" s="25"/>
      <c r="C108" s="28"/>
    </row>
    <row r="109">
      <c r="A109" s="12"/>
      <c r="B109" s="25"/>
      <c r="C109" s="28"/>
    </row>
    <row r="110">
      <c r="A110" s="12"/>
      <c r="B110" s="25"/>
      <c r="C110" s="28"/>
    </row>
    <row r="111">
      <c r="A111" s="12"/>
      <c r="B111" s="25"/>
      <c r="C111" s="28"/>
    </row>
    <row r="112">
      <c r="A112" s="12"/>
      <c r="B112" s="25"/>
      <c r="C112" s="28"/>
    </row>
    <row r="113">
      <c r="A113" s="12"/>
      <c r="B113" s="25"/>
      <c r="C113" s="28"/>
    </row>
    <row r="114">
      <c r="A114" s="12"/>
      <c r="B114" s="25"/>
      <c r="C114" s="28"/>
    </row>
    <row r="115">
      <c r="A115" s="12"/>
      <c r="B115" s="25"/>
      <c r="C115" s="28"/>
    </row>
    <row r="116">
      <c r="A116" s="12"/>
      <c r="B116" s="25"/>
      <c r="C116" s="28"/>
    </row>
    <row r="117">
      <c r="A117" s="12"/>
      <c r="B117" s="25"/>
      <c r="C117" s="28"/>
    </row>
    <row r="118">
      <c r="A118" s="12"/>
      <c r="B118" s="25"/>
      <c r="C118" s="28"/>
    </row>
    <row r="119">
      <c r="A119" s="12"/>
      <c r="B119" s="25"/>
      <c r="C119" s="28"/>
    </row>
    <row r="120">
      <c r="A120" s="12"/>
      <c r="B120" s="25"/>
      <c r="C120" s="28"/>
    </row>
    <row r="121">
      <c r="A121" s="12"/>
      <c r="B121" s="25"/>
      <c r="C121" s="28"/>
    </row>
    <row r="122">
      <c r="A122" s="12"/>
      <c r="B122" s="25"/>
      <c r="C122" s="28"/>
    </row>
    <row r="123">
      <c r="A123" s="12"/>
      <c r="B123" s="25"/>
      <c r="C123" s="28"/>
    </row>
    <row r="124">
      <c r="A124" s="12"/>
      <c r="B124" s="25"/>
      <c r="C124" s="28"/>
    </row>
    <row r="125">
      <c r="A125" s="12"/>
      <c r="B125" s="25"/>
      <c r="C125" s="28"/>
    </row>
    <row r="126">
      <c r="A126" s="12"/>
      <c r="B126" s="25"/>
      <c r="C126" s="28"/>
    </row>
    <row r="127">
      <c r="A127" s="12"/>
      <c r="B127" s="25"/>
      <c r="C127" s="28"/>
    </row>
    <row r="128">
      <c r="A128" s="12"/>
      <c r="B128" s="25"/>
      <c r="C128" s="28"/>
    </row>
    <row r="129">
      <c r="A129" s="12"/>
      <c r="B129" s="25"/>
      <c r="C129" s="28"/>
    </row>
    <row r="130">
      <c r="A130" s="12"/>
      <c r="B130" s="25"/>
      <c r="C130" s="28"/>
    </row>
    <row r="131">
      <c r="A131" s="12"/>
      <c r="B131" s="25"/>
      <c r="C131" s="28"/>
    </row>
    <row r="132">
      <c r="A132" s="12"/>
      <c r="B132" s="25"/>
      <c r="C132" s="28"/>
    </row>
    <row r="133">
      <c r="A133" s="12"/>
      <c r="B133" s="25"/>
      <c r="C133" s="28"/>
    </row>
    <row r="134">
      <c r="A134" s="12"/>
      <c r="B134" s="25"/>
      <c r="C134" s="28"/>
    </row>
    <row r="135">
      <c r="A135" s="12"/>
      <c r="B135" s="25"/>
      <c r="C135" s="28"/>
    </row>
    <row r="136">
      <c r="A136" s="12"/>
      <c r="B136" s="25"/>
      <c r="C136" s="28"/>
    </row>
    <row r="137">
      <c r="A137" s="12"/>
      <c r="B137" s="25"/>
      <c r="C137" s="28"/>
    </row>
    <row r="138">
      <c r="A138" s="12"/>
      <c r="B138" s="25"/>
      <c r="C138" s="28"/>
    </row>
    <row r="139">
      <c r="A139" s="12"/>
      <c r="B139" s="25"/>
      <c r="C139" s="28"/>
    </row>
    <row r="140">
      <c r="A140" s="12"/>
      <c r="B140" s="25"/>
      <c r="C140" s="28"/>
    </row>
    <row r="141">
      <c r="A141" s="12"/>
      <c r="B141" s="25"/>
      <c r="C141" s="28"/>
    </row>
    <row r="142">
      <c r="A142" s="12"/>
      <c r="B142" s="25"/>
      <c r="C142" s="28"/>
    </row>
    <row r="143">
      <c r="A143" s="12"/>
      <c r="B143" s="25"/>
      <c r="C143" s="28"/>
    </row>
    <row r="144">
      <c r="A144" s="12"/>
      <c r="B144" s="25"/>
      <c r="C144" s="28"/>
    </row>
    <row r="145">
      <c r="A145" s="12"/>
      <c r="B145" s="25"/>
      <c r="C145" s="28"/>
    </row>
    <row r="146">
      <c r="A146" s="12"/>
      <c r="B146" s="25"/>
      <c r="C146" s="28"/>
    </row>
    <row r="147">
      <c r="A147" s="12"/>
      <c r="B147" s="25"/>
      <c r="C147" s="28"/>
    </row>
    <row r="148">
      <c r="A148" s="12"/>
      <c r="B148" s="25"/>
      <c r="C148" s="28"/>
    </row>
    <row r="149">
      <c r="A149" s="12"/>
      <c r="B149" s="25"/>
      <c r="C149" s="28"/>
    </row>
    <row r="150">
      <c r="A150" s="12"/>
      <c r="B150" s="25"/>
      <c r="C150" s="28"/>
    </row>
    <row r="151">
      <c r="A151" s="12"/>
      <c r="B151" s="25"/>
      <c r="C151" s="28"/>
    </row>
    <row r="152">
      <c r="A152" s="12"/>
      <c r="B152" s="25"/>
      <c r="C152" s="28"/>
    </row>
    <row r="153">
      <c r="A153" s="12"/>
      <c r="B153" s="25"/>
      <c r="C153" s="28"/>
    </row>
    <row r="154">
      <c r="A154" s="12"/>
      <c r="B154" s="25"/>
      <c r="C154" s="28"/>
    </row>
    <row r="155">
      <c r="A155" s="12"/>
      <c r="B155" s="25"/>
      <c r="C155" s="28"/>
    </row>
    <row r="156">
      <c r="A156" s="12"/>
      <c r="B156" s="25"/>
      <c r="C156" s="28"/>
    </row>
    <row r="157">
      <c r="A157" s="12"/>
      <c r="B157" s="25"/>
      <c r="C157" s="28"/>
    </row>
    <row r="158">
      <c r="A158" s="12"/>
      <c r="B158" s="25"/>
      <c r="C158" s="28"/>
    </row>
    <row r="159">
      <c r="A159" s="12"/>
      <c r="B159" s="25"/>
      <c r="C159" s="28"/>
    </row>
    <row r="160">
      <c r="A160" s="12"/>
      <c r="B160" s="25"/>
      <c r="C160" s="28"/>
    </row>
    <row r="161">
      <c r="A161" s="12"/>
      <c r="B161" s="25"/>
      <c r="C161" s="28"/>
    </row>
    <row r="162">
      <c r="A162" s="12"/>
      <c r="B162" s="25"/>
      <c r="C162" s="28"/>
    </row>
    <row r="163">
      <c r="A163" s="12"/>
      <c r="B163" s="25"/>
      <c r="C163" s="28"/>
    </row>
    <row r="164">
      <c r="A164" s="12"/>
      <c r="B164" s="25"/>
      <c r="C164" s="28"/>
    </row>
    <row r="165">
      <c r="A165" s="12"/>
      <c r="B165" s="25"/>
      <c r="C165" s="28"/>
    </row>
    <row r="166">
      <c r="A166" s="12"/>
      <c r="B166" s="25"/>
      <c r="C166" s="28"/>
    </row>
    <row r="167">
      <c r="A167" s="12"/>
      <c r="B167" s="25"/>
      <c r="C167" s="28"/>
    </row>
    <row r="168">
      <c r="A168" s="12"/>
      <c r="B168" s="25"/>
      <c r="C168" s="28"/>
    </row>
    <row r="169">
      <c r="A169" s="12"/>
      <c r="B169" s="25"/>
      <c r="C169" s="28"/>
    </row>
    <row r="170">
      <c r="A170" s="12"/>
      <c r="B170" s="25"/>
      <c r="C170" s="28"/>
    </row>
    <row r="171">
      <c r="A171" s="12"/>
      <c r="B171" s="25"/>
      <c r="C171" s="28"/>
    </row>
    <row r="172">
      <c r="A172" s="12"/>
      <c r="B172" s="25"/>
      <c r="C172" s="28"/>
    </row>
    <row r="173">
      <c r="A173" s="12"/>
      <c r="B173" s="25"/>
      <c r="C173" s="28"/>
    </row>
    <row r="174">
      <c r="A174" s="12"/>
      <c r="B174" s="25"/>
      <c r="C174" s="28"/>
    </row>
    <row r="175">
      <c r="A175" s="12"/>
      <c r="B175" s="25"/>
      <c r="C175" s="28"/>
    </row>
    <row r="176">
      <c r="A176" s="12"/>
      <c r="B176" s="25"/>
      <c r="C176" s="28"/>
    </row>
    <row r="177">
      <c r="A177" s="12"/>
      <c r="B177" s="25"/>
      <c r="C177" s="28"/>
    </row>
    <row r="178">
      <c r="A178" s="12"/>
      <c r="B178" s="25"/>
      <c r="C178" s="28"/>
    </row>
    <row r="179">
      <c r="A179" s="12"/>
      <c r="B179" s="25"/>
      <c r="C179" s="28"/>
    </row>
    <row r="180">
      <c r="A180" s="12"/>
      <c r="B180" s="25"/>
      <c r="C180" s="28"/>
    </row>
    <row r="181">
      <c r="A181" s="12"/>
      <c r="B181" s="25"/>
      <c r="C181" s="28"/>
    </row>
    <row r="182">
      <c r="A182" s="12"/>
      <c r="B182" s="25"/>
      <c r="C182" s="28"/>
    </row>
    <row r="183">
      <c r="A183" s="12"/>
      <c r="B183" s="25"/>
      <c r="C183" s="28"/>
    </row>
    <row r="184">
      <c r="A184" s="12"/>
      <c r="B184" s="25"/>
      <c r="C184" s="28"/>
    </row>
    <row r="185">
      <c r="A185" s="12"/>
      <c r="B185" s="25"/>
      <c r="C185" s="28"/>
    </row>
    <row r="186">
      <c r="A186" s="12"/>
      <c r="B186" s="25"/>
      <c r="C186" s="28"/>
    </row>
    <row r="187">
      <c r="A187" s="12"/>
      <c r="B187" s="25"/>
      <c r="C187" s="28"/>
    </row>
    <row r="188">
      <c r="A188" s="12"/>
      <c r="B188" s="25"/>
      <c r="C188" s="28"/>
    </row>
    <row r="189">
      <c r="A189" s="12"/>
      <c r="B189" s="25"/>
      <c r="C189" s="28"/>
    </row>
    <row r="190">
      <c r="A190" s="12"/>
      <c r="B190" s="25"/>
      <c r="C190" s="28"/>
    </row>
    <row r="191">
      <c r="A191" s="12"/>
      <c r="B191" s="25"/>
      <c r="C191" s="28"/>
    </row>
    <row r="192">
      <c r="A192" s="12"/>
      <c r="B192" s="25"/>
      <c r="C192" s="28"/>
    </row>
    <row r="193">
      <c r="A193" s="12"/>
      <c r="B193" s="25"/>
      <c r="C193" s="28"/>
    </row>
    <row r="194">
      <c r="A194" s="12"/>
      <c r="B194" s="25"/>
      <c r="C194" s="28"/>
    </row>
    <row r="195">
      <c r="A195" s="12"/>
      <c r="B195" s="25"/>
      <c r="C195" s="28"/>
    </row>
    <row r="196">
      <c r="A196" s="12"/>
      <c r="B196" s="25"/>
      <c r="C196" s="28"/>
    </row>
    <row r="197">
      <c r="A197" s="12"/>
      <c r="B197" s="25"/>
      <c r="C197" s="28"/>
    </row>
    <row r="198">
      <c r="A198" s="12"/>
      <c r="B198" s="25"/>
      <c r="C198" s="28"/>
    </row>
    <row r="199">
      <c r="A199" s="12"/>
      <c r="B199" s="25"/>
      <c r="C199" s="28"/>
    </row>
    <row r="200">
      <c r="A200" s="12"/>
      <c r="B200" s="25"/>
      <c r="C200" s="28"/>
    </row>
    <row r="201">
      <c r="A201" s="12"/>
      <c r="B201" s="25"/>
      <c r="C201" s="28"/>
    </row>
    <row r="202">
      <c r="A202" s="12"/>
      <c r="B202" s="25"/>
      <c r="C202" s="28"/>
    </row>
    <row r="203">
      <c r="A203" s="12"/>
      <c r="B203" s="25"/>
      <c r="C203" s="28"/>
    </row>
    <row r="204">
      <c r="A204" s="12"/>
      <c r="B204" s="25"/>
      <c r="C204" s="28"/>
    </row>
    <row r="205">
      <c r="A205" s="12"/>
      <c r="B205" s="25"/>
      <c r="C205" s="28"/>
    </row>
    <row r="206">
      <c r="A206" s="12"/>
      <c r="B206" s="25"/>
      <c r="C206" s="28"/>
    </row>
    <row r="207">
      <c r="A207" s="12"/>
      <c r="B207" s="25"/>
      <c r="C207" s="28"/>
    </row>
    <row r="208">
      <c r="A208" s="12"/>
      <c r="B208" s="25"/>
      <c r="C208" s="28"/>
    </row>
    <row r="209">
      <c r="A209" s="12"/>
      <c r="B209" s="25"/>
      <c r="C209" s="28"/>
    </row>
    <row r="210">
      <c r="A210" s="12"/>
      <c r="B210" s="25"/>
      <c r="C210" s="28"/>
    </row>
    <row r="211">
      <c r="A211" s="12"/>
      <c r="B211" s="25"/>
      <c r="C211" s="28"/>
    </row>
    <row r="212">
      <c r="A212" s="12"/>
      <c r="B212" s="25"/>
      <c r="C212" s="28"/>
    </row>
    <row r="213">
      <c r="A213" s="12"/>
      <c r="B213" s="25"/>
      <c r="C213" s="28"/>
    </row>
    <row r="214">
      <c r="A214" s="12"/>
      <c r="B214" s="25"/>
      <c r="C214" s="28"/>
    </row>
    <row r="215">
      <c r="A215" s="12"/>
      <c r="B215" s="25"/>
      <c r="C215" s="28"/>
    </row>
    <row r="216">
      <c r="A216" s="12"/>
      <c r="B216" s="25"/>
      <c r="C216" s="28"/>
    </row>
    <row r="217">
      <c r="A217" s="12"/>
      <c r="B217" s="25"/>
      <c r="C217" s="28"/>
    </row>
    <row r="218">
      <c r="A218" s="12"/>
      <c r="B218" s="25"/>
      <c r="C218" s="28"/>
    </row>
    <row r="219">
      <c r="A219" s="12"/>
      <c r="B219" s="25"/>
      <c r="C219" s="28"/>
    </row>
    <row r="220">
      <c r="A220" s="12"/>
      <c r="B220" s="25"/>
      <c r="C220" s="28"/>
    </row>
    <row r="221">
      <c r="A221" s="12"/>
      <c r="B221" s="25"/>
      <c r="C221" s="28"/>
    </row>
    <row r="222">
      <c r="A222" s="12"/>
      <c r="B222" s="25"/>
      <c r="C222" s="28"/>
    </row>
    <row r="223">
      <c r="A223" s="12"/>
      <c r="B223" s="25"/>
      <c r="C223" s="28"/>
    </row>
    <row r="224">
      <c r="A224" s="12"/>
      <c r="B224" s="25"/>
      <c r="C224" s="28"/>
    </row>
    <row r="225">
      <c r="A225" s="12"/>
      <c r="B225" s="25"/>
      <c r="C225" s="28"/>
    </row>
    <row r="226">
      <c r="A226" s="12"/>
      <c r="B226" s="25"/>
      <c r="C226" s="28"/>
    </row>
    <row r="227">
      <c r="A227" s="12"/>
      <c r="B227" s="25"/>
      <c r="C227" s="28"/>
    </row>
    <row r="228">
      <c r="A228" s="12"/>
      <c r="B228" s="25"/>
      <c r="C228" s="28"/>
    </row>
    <row r="229">
      <c r="A229" s="12"/>
      <c r="B229" s="25"/>
      <c r="C229" s="28"/>
    </row>
    <row r="230">
      <c r="A230" s="12"/>
      <c r="B230" s="25"/>
      <c r="C230" s="28"/>
    </row>
    <row r="231">
      <c r="A231" s="12"/>
      <c r="B231" s="25"/>
      <c r="C231" s="28"/>
    </row>
    <row r="232">
      <c r="A232" s="12"/>
      <c r="B232" s="25"/>
      <c r="C232" s="28"/>
    </row>
    <row r="233">
      <c r="A233" s="12"/>
      <c r="B233" s="25"/>
      <c r="C233" s="28"/>
    </row>
    <row r="234">
      <c r="A234" s="12"/>
      <c r="B234" s="25"/>
      <c r="C234" s="28"/>
    </row>
    <row r="235">
      <c r="A235" s="12"/>
      <c r="B235" s="25"/>
      <c r="C235" s="28"/>
    </row>
    <row r="236">
      <c r="A236" s="12"/>
      <c r="B236" s="25"/>
      <c r="C236" s="28"/>
    </row>
    <row r="237">
      <c r="A237" s="12"/>
      <c r="B237" s="25"/>
      <c r="C237" s="28"/>
    </row>
    <row r="238">
      <c r="A238" s="12"/>
      <c r="B238" s="25"/>
      <c r="C238" s="28"/>
    </row>
    <row r="239">
      <c r="A239" s="12"/>
      <c r="B239" s="25"/>
      <c r="C239" s="28"/>
    </row>
    <row r="240">
      <c r="A240" s="12"/>
      <c r="B240" s="25"/>
      <c r="C240" s="28"/>
    </row>
    <row r="241">
      <c r="A241" s="12"/>
      <c r="B241" s="25"/>
      <c r="C241" s="28"/>
    </row>
    <row r="242">
      <c r="A242" s="12"/>
      <c r="B242" s="25"/>
      <c r="C242" s="28"/>
    </row>
    <row r="243">
      <c r="A243" s="12"/>
      <c r="B243" s="25"/>
      <c r="C243" s="28"/>
    </row>
    <row r="244">
      <c r="A244" s="12"/>
      <c r="B244" s="25"/>
      <c r="C244" s="28"/>
    </row>
    <row r="245">
      <c r="A245" s="12"/>
      <c r="B245" s="25"/>
      <c r="C245" s="28"/>
    </row>
    <row r="246">
      <c r="A246" s="12"/>
      <c r="B246" s="25"/>
      <c r="C246" s="28"/>
    </row>
    <row r="247">
      <c r="A247" s="12"/>
      <c r="B247" s="25"/>
      <c r="C247" s="28"/>
    </row>
    <row r="248">
      <c r="A248" s="12"/>
      <c r="B248" s="25"/>
      <c r="C248" s="28"/>
    </row>
    <row r="249">
      <c r="A249" s="12"/>
      <c r="B249" s="25"/>
      <c r="C249" s="28"/>
    </row>
    <row r="250">
      <c r="A250" s="12"/>
      <c r="B250" s="25"/>
      <c r="C250" s="28"/>
    </row>
    <row r="251">
      <c r="A251" s="12"/>
      <c r="B251" s="25"/>
      <c r="C251" s="28"/>
    </row>
    <row r="252">
      <c r="A252" s="12"/>
      <c r="B252" s="25"/>
      <c r="C252" s="28"/>
    </row>
    <row r="253">
      <c r="A253" s="12"/>
      <c r="B253" s="25"/>
      <c r="C253" s="28"/>
    </row>
    <row r="254">
      <c r="A254" s="12"/>
      <c r="B254" s="25"/>
      <c r="C254" s="28"/>
    </row>
    <row r="255">
      <c r="A255" s="12"/>
      <c r="B255" s="25"/>
      <c r="C255" s="28"/>
    </row>
    <row r="256">
      <c r="A256" s="12"/>
      <c r="B256" s="25"/>
      <c r="C256" s="28"/>
    </row>
    <row r="257">
      <c r="A257" s="12"/>
      <c r="B257" s="25"/>
      <c r="C257" s="28"/>
    </row>
    <row r="258">
      <c r="A258" s="12"/>
      <c r="B258" s="25"/>
      <c r="C258" s="28"/>
    </row>
    <row r="259">
      <c r="A259" s="12"/>
      <c r="B259" s="25"/>
      <c r="C259" s="28"/>
    </row>
    <row r="260">
      <c r="A260" s="12"/>
      <c r="B260" s="25"/>
      <c r="C260" s="28"/>
    </row>
    <row r="261">
      <c r="A261" s="12"/>
      <c r="B261" s="25"/>
      <c r="C261" s="28"/>
    </row>
    <row r="262">
      <c r="A262" s="12"/>
      <c r="B262" s="25"/>
      <c r="C262" s="28"/>
    </row>
    <row r="263">
      <c r="A263" s="12"/>
      <c r="B263" s="25"/>
      <c r="C263" s="28"/>
    </row>
    <row r="264">
      <c r="A264" s="12"/>
      <c r="B264" s="25"/>
      <c r="C264" s="28"/>
    </row>
    <row r="265">
      <c r="A265" s="12"/>
      <c r="B265" s="25"/>
      <c r="C265" s="28"/>
    </row>
    <row r="266">
      <c r="A266" s="12"/>
      <c r="B266" s="25"/>
      <c r="C266" s="28"/>
    </row>
    <row r="267">
      <c r="A267" s="12"/>
      <c r="B267" s="25"/>
      <c r="C267" s="28"/>
    </row>
    <row r="268">
      <c r="A268" s="12"/>
      <c r="B268" s="25"/>
      <c r="C268" s="28"/>
    </row>
    <row r="269">
      <c r="A269" s="12"/>
      <c r="B269" s="25"/>
      <c r="C269" s="28"/>
    </row>
    <row r="270">
      <c r="A270" s="12"/>
      <c r="B270" s="25"/>
      <c r="C270" s="28"/>
    </row>
    <row r="271">
      <c r="A271" s="12"/>
      <c r="B271" s="25"/>
      <c r="C271" s="28"/>
    </row>
    <row r="272">
      <c r="A272" s="12"/>
      <c r="B272" s="25"/>
      <c r="C272" s="28"/>
    </row>
    <row r="273">
      <c r="A273" s="12"/>
      <c r="B273" s="25"/>
      <c r="C273" s="28"/>
    </row>
    <row r="274">
      <c r="A274" s="12"/>
      <c r="B274" s="25"/>
      <c r="C274" s="28"/>
    </row>
    <row r="275">
      <c r="A275" s="12"/>
      <c r="B275" s="25"/>
      <c r="C275" s="28"/>
    </row>
    <row r="276">
      <c r="A276" s="12"/>
      <c r="B276" s="25"/>
      <c r="C276" s="28"/>
    </row>
    <row r="277">
      <c r="A277" s="12"/>
      <c r="B277" s="25"/>
      <c r="C277" s="28"/>
    </row>
    <row r="278">
      <c r="A278" s="12"/>
      <c r="B278" s="25"/>
      <c r="C278" s="28"/>
    </row>
    <row r="279">
      <c r="A279" s="12"/>
      <c r="B279" s="25"/>
      <c r="C279" s="28"/>
    </row>
    <row r="280">
      <c r="A280" s="12"/>
      <c r="B280" s="25"/>
      <c r="C280" s="28"/>
    </row>
    <row r="281">
      <c r="A281" s="12"/>
      <c r="B281" s="25"/>
      <c r="C281" s="28"/>
    </row>
    <row r="282">
      <c r="A282" s="12"/>
      <c r="B282" s="25"/>
      <c r="C282" s="28"/>
    </row>
    <row r="283">
      <c r="A283" s="12"/>
      <c r="B283" s="25"/>
      <c r="C283" s="28"/>
    </row>
    <row r="284">
      <c r="A284" s="12"/>
      <c r="B284" s="25"/>
      <c r="C284" s="28"/>
    </row>
    <row r="285">
      <c r="A285" s="12"/>
      <c r="B285" s="25"/>
      <c r="C285" s="28"/>
    </row>
    <row r="286">
      <c r="A286" s="12"/>
      <c r="B286" s="25"/>
      <c r="C286" s="28"/>
    </row>
    <row r="287">
      <c r="A287" s="12"/>
      <c r="B287" s="25"/>
      <c r="C287" s="28"/>
    </row>
    <row r="288">
      <c r="A288" s="12"/>
      <c r="B288" s="25"/>
      <c r="C288" s="28"/>
    </row>
    <row r="289">
      <c r="A289" s="12"/>
      <c r="B289" s="25"/>
      <c r="C289" s="28"/>
    </row>
    <row r="290">
      <c r="A290" s="12"/>
      <c r="B290" s="25"/>
      <c r="C290" s="28"/>
    </row>
    <row r="291">
      <c r="A291" s="12"/>
      <c r="B291" s="25"/>
      <c r="C291" s="28"/>
    </row>
    <row r="292">
      <c r="A292" s="12"/>
      <c r="B292" s="25"/>
      <c r="C292" s="28"/>
    </row>
    <row r="293">
      <c r="A293" s="12"/>
      <c r="B293" s="25"/>
      <c r="C293" s="28"/>
    </row>
    <row r="294">
      <c r="A294" s="12"/>
      <c r="B294" s="25"/>
      <c r="C294" s="28"/>
    </row>
    <row r="295">
      <c r="A295" s="12"/>
      <c r="B295" s="25"/>
      <c r="C295" s="28"/>
    </row>
    <row r="296">
      <c r="A296" s="12"/>
      <c r="B296" s="25"/>
      <c r="C296" s="28"/>
    </row>
    <row r="297">
      <c r="A297" s="12"/>
      <c r="B297" s="25"/>
      <c r="C297" s="28"/>
    </row>
    <row r="298">
      <c r="A298" s="12"/>
      <c r="B298" s="25"/>
      <c r="C298" s="28"/>
    </row>
    <row r="299">
      <c r="A299" s="12"/>
      <c r="B299" s="25"/>
      <c r="C299" s="28"/>
    </row>
    <row r="300">
      <c r="A300" s="12"/>
      <c r="B300" s="25"/>
      <c r="C300" s="28"/>
    </row>
    <row r="301">
      <c r="A301" s="12"/>
      <c r="B301" s="25"/>
      <c r="C301" s="28"/>
    </row>
    <row r="302">
      <c r="A302" s="12"/>
      <c r="B302" s="25"/>
      <c r="C302" s="28"/>
    </row>
    <row r="303">
      <c r="A303" s="12"/>
      <c r="B303" s="25"/>
      <c r="C303" s="28"/>
    </row>
    <row r="304">
      <c r="A304" s="12"/>
      <c r="B304" s="25"/>
      <c r="C304" s="28"/>
    </row>
    <row r="305">
      <c r="A305" s="12"/>
      <c r="B305" s="25"/>
      <c r="C305" s="28"/>
    </row>
    <row r="306">
      <c r="A306" s="12"/>
      <c r="B306" s="25"/>
      <c r="C306" s="28"/>
    </row>
    <row r="307">
      <c r="A307" s="12"/>
      <c r="B307" s="25"/>
      <c r="C307" s="28"/>
    </row>
    <row r="308">
      <c r="A308" s="12"/>
      <c r="B308" s="25"/>
      <c r="C308" s="28"/>
    </row>
    <row r="309">
      <c r="A309" s="12"/>
      <c r="B309" s="25"/>
      <c r="C309" s="28"/>
    </row>
    <row r="310">
      <c r="A310" s="12"/>
      <c r="B310" s="25"/>
      <c r="C310" s="28"/>
    </row>
    <row r="311">
      <c r="A311" s="12"/>
      <c r="B311" s="25"/>
      <c r="C311" s="28"/>
    </row>
    <row r="312">
      <c r="A312" s="12"/>
      <c r="B312" s="25"/>
      <c r="C312" s="28"/>
    </row>
    <row r="313">
      <c r="A313" s="12"/>
      <c r="B313" s="25"/>
      <c r="C313" s="28"/>
    </row>
    <row r="314">
      <c r="A314" s="12"/>
      <c r="B314" s="25"/>
      <c r="C314" s="28"/>
    </row>
    <row r="315">
      <c r="A315" s="12"/>
      <c r="B315" s="25"/>
      <c r="C315" s="28"/>
    </row>
    <row r="316">
      <c r="A316" s="12"/>
      <c r="B316" s="25"/>
      <c r="C316" s="28"/>
    </row>
    <row r="317">
      <c r="A317" s="12"/>
      <c r="B317" s="25"/>
      <c r="C317" s="28"/>
    </row>
    <row r="318">
      <c r="A318" s="12"/>
      <c r="B318" s="25"/>
      <c r="C318" s="28"/>
    </row>
    <row r="319">
      <c r="A319" s="12"/>
      <c r="B319" s="25"/>
      <c r="C319" s="28"/>
    </row>
    <row r="320">
      <c r="A320" s="12"/>
      <c r="B320" s="25"/>
      <c r="C320" s="28"/>
    </row>
    <row r="321">
      <c r="A321" s="12"/>
      <c r="B321" s="25"/>
      <c r="C321" s="28"/>
    </row>
    <row r="322">
      <c r="A322" s="12"/>
      <c r="B322" s="25"/>
      <c r="C322" s="28"/>
    </row>
    <row r="323">
      <c r="A323" s="12"/>
      <c r="B323" s="25"/>
      <c r="C323" s="28"/>
    </row>
    <row r="324">
      <c r="A324" s="12"/>
      <c r="B324" s="25"/>
      <c r="C324" s="28"/>
    </row>
    <row r="325">
      <c r="A325" s="12"/>
      <c r="B325" s="25"/>
      <c r="C325" s="28"/>
    </row>
    <row r="326">
      <c r="A326" s="12"/>
      <c r="B326" s="25"/>
      <c r="C326" s="28"/>
    </row>
    <row r="327">
      <c r="A327" s="12"/>
      <c r="B327" s="25"/>
      <c r="C327" s="28"/>
    </row>
    <row r="328">
      <c r="A328" s="12"/>
      <c r="B328" s="25"/>
      <c r="C328" s="28"/>
    </row>
    <row r="329">
      <c r="A329" s="12"/>
      <c r="B329" s="25"/>
      <c r="C329" s="28"/>
    </row>
    <row r="330">
      <c r="A330" s="12"/>
      <c r="B330" s="25"/>
      <c r="C330" s="28"/>
    </row>
    <row r="331">
      <c r="A331" s="12"/>
      <c r="B331" s="25"/>
      <c r="C331" s="28"/>
    </row>
    <row r="332">
      <c r="A332" s="12"/>
      <c r="B332" s="25"/>
      <c r="C332" s="28"/>
    </row>
    <row r="333">
      <c r="A333" s="12"/>
      <c r="B333" s="25"/>
      <c r="C333" s="28"/>
    </row>
    <row r="334">
      <c r="A334" s="12"/>
      <c r="B334" s="25"/>
      <c r="C334" s="28"/>
    </row>
    <row r="335">
      <c r="A335" s="12"/>
      <c r="B335" s="25"/>
      <c r="C335" s="28"/>
    </row>
    <row r="336">
      <c r="A336" s="12"/>
      <c r="B336" s="25"/>
      <c r="C336" s="28"/>
    </row>
    <row r="337">
      <c r="A337" s="12"/>
      <c r="B337" s="25"/>
      <c r="C337" s="28"/>
    </row>
    <row r="338">
      <c r="A338" s="12"/>
      <c r="B338" s="25"/>
      <c r="C338" s="28"/>
    </row>
    <row r="339">
      <c r="A339" s="12"/>
      <c r="B339" s="25"/>
      <c r="C339" s="28"/>
    </row>
    <row r="340">
      <c r="A340" s="12"/>
      <c r="B340" s="25"/>
      <c r="C340" s="28"/>
    </row>
    <row r="341">
      <c r="A341" s="12"/>
      <c r="B341" s="25"/>
      <c r="C341" s="28"/>
    </row>
    <row r="342">
      <c r="A342" s="12"/>
      <c r="B342" s="25"/>
      <c r="C342" s="28"/>
    </row>
    <row r="343">
      <c r="A343" s="12"/>
      <c r="B343" s="25"/>
      <c r="C343" s="28"/>
    </row>
    <row r="344">
      <c r="A344" s="12"/>
      <c r="B344" s="25"/>
      <c r="C344" s="28"/>
    </row>
    <row r="345">
      <c r="A345" s="12"/>
      <c r="B345" s="25"/>
      <c r="C345" s="28"/>
    </row>
    <row r="346">
      <c r="A346" s="12"/>
      <c r="B346" s="25"/>
      <c r="C346" s="28"/>
    </row>
    <row r="347">
      <c r="A347" s="12"/>
      <c r="B347" s="25"/>
      <c r="C347" s="28"/>
    </row>
    <row r="348">
      <c r="A348" s="12"/>
      <c r="B348" s="25"/>
      <c r="C348" s="28"/>
    </row>
    <row r="349">
      <c r="A349" s="12"/>
      <c r="B349" s="25"/>
      <c r="C349" s="28"/>
    </row>
    <row r="350">
      <c r="A350" s="12"/>
      <c r="B350" s="25"/>
      <c r="C350" s="28"/>
    </row>
    <row r="351">
      <c r="A351" s="12"/>
      <c r="B351" s="25"/>
      <c r="C351" s="28"/>
    </row>
    <row r="352">
      <c r="A352" s="12"/>
      <c r="B352" s="25"/>
      <c r="C352" s="28"/>
    </row>
    <row r="353">
      <c r="A353" s="12"/>
      <c r="B353" s="25"/>
      <c r="C353" s="28"/>
    </row>
    <row r="354">
      <c r="A354" s="12"/>
      <c r="B354" s="25"/>
      <c r="C354" s="28"/>
    </row>
    <row r="355">
      <c r="A355" s="12"/>
      <c r="B355" s="25"/>
      <c r="C355" s="28"/>
    </row>
    <row r="356">
      <c r="A356" s="12"/>
      <c r="B356" s="25"/>
      <c r="C356" s="28"/>
    </row>
    <row r="357">
      <c r="A357" s="12"/>
      <c r="B357" s="25"/>
      <c r="C357" s="28"/>
    </row>
    <row r="358">
      <c r="A358" s="12"/>
      <c r="B358" s="25"/>
      <c r="C358" s="28"/>
    </row>
    <row r="359">
      <c r="A359" s="12"/>
      <c r="B359" s="25"/>
      <c r="C359" s="28"/>
    </row>
    <row r="360">
      <c r="A360" s="12"/>
      <c r="B360" s="25"/>
      <c r="C360" s="28"/>
    </row>
    <row r="361">
      <c r="A361" s="12"/>
      <c r="B361" s="25"/>
      <c r="C361" s="28"/>
    </row>
    <row r="362">
      <c r="A362" s="12"/>
      <c r="B362" s="25"/>
      <c r="C362" s="28"/>
    </row>
    <row r="363">
      <c r="A363" s="12"/>
      <c r="B363" s="25"/>
      <c r="C363" s="28"/>
    </row>
    <row r="364">
      <c r="A364" s="12"/>
      <c r="B364" s="25"/>
      <c r="C364" s="28"/>
    </row>
    <row r="365">
      <c r="A365" s="12"/>
      <c r="B365" s="25"/>
      <c r="C365" s="28"/>
    </row>
    <row r="366">
      <c r="A366" s="12"/>
      <c r="B366" s="25"/>
      <c r="C366" s="28"/>
    </row>
    <row r="367">
      <c r="A367" s="12"/>
      <c r="B367" s="25"/>
      <c r="C367" s="28"/>
    </row>
    <row r="368">
      <c r="A368" s="12"/>
      <c r="B368" s="25"/>
      <c r="C368" s="28"/>
    </row>
    <row r="369">
      <c r="A369" s="12"/>
      <c r="B369" s="25"/>
      <c r="C369" s="28"/>
    </row>
    <row r="370">
      <c r="A370" s="12"/>
      <c r="B370" s="25"/>
      <c r="C370" s="28"/>
    </row>
    <row r="371">
      <c r="A371" s="12"/>
      <c r="B371" s="25"/>
      <c r="C371" s="28"/>
    </row>
    <row r="372">
      <c r="A372" s="12"/>
      <c r="B372" s="25"/>
      <c r="C372" s="28"/>
    </row>
    <row r="373">
      <c r="A373" s="12"/>
      <c r="B373" s="25"/>
      <c r="C373" s="28"/>
    </row>
    <row r="374">
      <c r="A374" s="12"/>
      <c r="B374" s="25"/>
      <c r="C374" s="28"/>
    </row>
    <row r="375">
      <c r="A375" s="12"/>
      <c r="B375" s="25"/>
      <c r="C375" s="28"/>
    </row>
    <row r="376">
      <c r="A376" s="12"/>
      <c r="B376" s="25"/>
      <c r="C376" s="28"/>
    </row>
    <row r="377">
      <c r="A377" s="12"/>
      <c r="B377" s="25"/>
      <c r="C377" s="28"/>
    </row>
    <row r="378">
      <c r="A378" s="12"/>
      <c r="B378" s="25"/>
      <c r="C378" s="28"/>
    </row>
    <row r="379">
      <c r="A379" s="12"/>
      <c r="B379" s="25"/>
      <c r="C379" s="28"/>
    </row>
    <row r="380">
      <c r="A380" s="12"/>
      <c r="B380" s="25"/>
      <c r="C380" s="28"/>
    </row>
    <row r="381">
      <c r="A381" s="12"/>
      <c r="B381" s="25"/>
      <c r="C381" s="28"/>
    </row>
    <row r="382">
      <c r="A382" s="12"/>
      <c r="B382" s="25"/>
      <c r="C382" s="28"/>
    </row>
    <row r="383">
      <c r="A383" s="12"/>
      <c r="B383" s="25"/>
      <c r="C383" s="28"/>
    </row>
    <row r="384">
      <c r="A384" s="12"/>
      <c r="B384" s="25"/>
      <c r="C384" s="28"/>
    </row>
    <row r="385">
      <c r="A385" s="12"/>
      <c r="B385" s="25"/>
      <c r="C385" s="28"/>
    </row>
    <row r="386">
      <c r="A386" s="12"/>
      <c r="B386" s="25"/>
      <c r="C386" s="28"/>
    </row>
    <row r="387">
      <c r="A387" s="12"/>
      <c r="B387" s="25"/>
      <c r="C387" s="28"/>
    </row>
    <row r="388">
      <c r="A388" s="12"/>
      <c r="B388" s="25"/>
      <c r="C388" s="28"/>
    </row>
    <row r="389">
      <c r="A389" s="12"/>
      <c r="B389" s="25"/>
      <c r="C389" s="28"/>
    </row>
    <row r="390">
      <c r="A390" s="12"/>
      <c r="B390" s="25"/>
      <c r="C390" s="28"/>
    </row>
    <row r="391">
      <c r="A391" s="12"/>
      <c r="B391" s="25"/>
      <c r="C391" s="28"/>
    </row>
    <row r="392">
      <c r="A392" s="12"/>
      <c r="B392" s="25"/>
      <c r="C392" s="28"/>
    </row>
    <row r="393">
      <c r="A393" s="12"/>
      <c r="B393" s="25"/>
      <c r="C393" s="28"/>
    </row>
    <row r="394">
      <c r="A394" s="12"/>
      <c r="B394" s="25"/>
      <c r="C394" s="28"/>
    </row>
    <row r="395">
      <c r="A395" s="12"/>
      <c r="B395" s="25"/>
      <c r="C395" s="28"/>
    </row>
    <row r="396">
      <c r="A396" s="12"/>
      <c r="B396" s="25"/>
      <c r="C396" s="28"/>
    </row>
    <row r="397">
      <c r="A397" s="12"/>
      <c r="B397" s="25"/>
      <c r="C397" s="28"/>
    </row>
    <row r="398">
      <c r="A398" s="12"/>
      <c r="B398" s="25"/>
      <c r="C398" s="28"/>
    </row>
    <row r="399">
      <c r="A399" s="12"/>
      <c r="B399" s="25"/>
      <c r="C399" s="28"/>
    </row>
    <row r="400">
      <c r="A400" s="12"/>
      <c r="B400" s="25"/>
      <c r="C400" s="28"/>
    </row>
    <row r="401">
      <c r="A401" s="12"/>
      <c r="B401" s="25"/>
      <c r="C401" s="28"/>
    </row>
    <row r="402">
      <c r="A402" s="12"/>
      <c r="B402" s="25"/>
      <c r="C402" s="28"/>
    </row>
    <row r="403">
      <c r="A403" s="12"/>
      <c r="B403" s="25"/>
      <c r="C403" s="28"/>
    </row>
    <row r="404">
      <c r="A404" s="12"/>
      <c r="B404" s="25"/>
      <c r="C404" s="28"/>
    </row>
    <row r="405">
      <c r="A405" s="12"/>
      <c r="B405" s="25"/>
      <c r="C405" s="28"/>
    </row>
    <row r="406">
      <c r="A406" s="12"/>
      <c r="B406" s="25"/>
      <c r="C406" s="28"/>
    </row>
    <row r="407">
      <c r="A407" s="12"/>
      <c r="B407" s="25"/>
      <c r="C407" s="28"/>
    </row>
    <row r="408">
      <c r="A408" s="12"/>
      <c r="B408" s="25"/>
      <c r="C408" s="28"/>
    </row>
    <row r="409">
      <c r="A409" s="12"/>
      <c r="B409" s="25"/>
      <c r="C409" s="28"/>
    </row>
    <row r="410">
      <c r="A410" s="12"/>
      <c r="B410" s="25"/>
      <c r="C410" s="28"/>
    </row>
    <row r="411">
      <c r="A411" s="12"/>
      <c r="B411" s="25"/>
      <c r="C411" s="28"/>
    </row>
    <row r="412">
      <c r="A412" s="12"/>
      <c r="B412" s="25"/>
      <c r="C412" s="28"/>
    </row>
    <row r="413">
      <c r="A413" s="12"/>
      <c r="B413" s="25"/>
      <c r="C413" s="28"/>
    </row>
    <row r="414">
      <c r="A414" s="12"/>
      <c r="B414" s="25"/>
      <c r="C414" s="28"/>
    </row>
    <row r="415">
      <c r="A415" s="12"/>
      <c r="B415" s="25"/>
      <c r="C415" s="28"/>
    </row>
    <row r="416">
      <c r="A416" s="12"/>
      <c r="B416" s="25"/>
      <c r="C416" s="28"/>
    </row>
    <row r="417">
      <c r="A417" s="12"/>
      <c r="B417" s="25"/>
      <c r="C417" s="28"/>
    </row>
    <row r="418">
      <c r="A418" s="12"/>
      <c r="B418" s="25"/>
      <c r="C418" s="28"/>
    </row>
    <row r="419">
      <c r="A419" s="12"/>
      <c r="B419" s="25"/>
      <c r="C419" s="28"/>
    </row>
    <row r="420">
      <c r="A420" s="12"/>
      <c r="B420" s="25"/>
      <c r="C420" s="28"/>
    </row>
    <row r="421">
      <c r="A421" s="12"/>
      <c r="B421" s="25"/>
      <c r="C421" s="28"/>
    </row>
    <row r="422">
      <c r="A422" s="12"/>
      <c r="B422" s="25"/>
      <c r="C422" s="28"/>
    </row>
    <row r="423">
      <c r="A423" s="12"/>
      <c r="B423" s="25"/>
      <c r="C423" s="28"/>
    </row>
    <row r="424">
      <c r="A424" s="12"/>
      <c r="B424" s="25"/>
      <c r="C424" s="28"/>
    </row>
    <row r="425">
      <c r="A425" s="12"/>
      <c r="B425" s="25"/>
      <c r="C425" s="28"/>
    </row>
    <row r="426">
      <c r="A426" s="12"/>
      <c r="B426" s="25"/>
      <c r="C426" s="28"/>
    </row>
    <row r="427">
      <c r="A427" s="12"/>
      <c r="B427" s="25"/>
      <c r="C427" s="28"/>
    </row>
    <row r="428">
      <c r="A428" s="12"/>
      <c r="B428" s="25"/>
      <c r="C428" s="28"/>
    </row>
    <row r="429">
      <c r="A429" s="12"/>
      <c r="B429" s="25"/>
      <c r="C429" s="28"/>
    </row>
    <row r="430">
      <c r="A430" s="12"/>
      <c r="B430" s="25"/>
      <c r="C430" s="28"/>
    </row>
    <row r="431">
      <c r="A431" s="12"/>
      <c r="B431" s="25"/>
      <c r="C431" s="28"/>
    </row>
    <row r="432">
      <c r="A432" s="12"/>
      <c r="B432" s="25"/>
      <c r="C432" s="28"/>
    </row>
    <row r="433">
      <c r="A433" s="12"/>
      <c r="B433" s="25"/>
      <c r="C433" s="28"/>
    </row>
    <row r="434">
      <c r="A434" s="12"/>
      <c r="B434" s="25"/>
      <c r="C434" s="28"/>
    </row>
    <row r="435">
      <c r="A435" s="12"/>
      <c r="B435" s="25"/>
      <c r="C435" s="28"/>
    </row>
    <row r="436">
      <c r="A436" s="12"/>
      <c r="B436" s="25"/>
      <c r="C436" s="28"/>
    </row>
    <row r="437">
      <c r="A437" s="12"/>
      <c r="B437" s="25"/>
      <c r="C437" s="28"/>
    </row>
    <row r="438">
      <c r="A438" s="12"/>
      <c r="B438" s="25"/>
      <c r="C438" s="28"/>
    </row>
    <row r="439">
      <c r="A439" s="12"/>
      <c r="B439" s="25"/>
      <c r="C439" s="28"/>
    </row>
    <row r="440">
      <c r="A440" s="12"/>
      <c r="B440" s="25"/>
      <c r="C440" s="28"/>
    </row>
    <row r="441">
      <c r="A441" s="12"/>
      <c r="B441" s="25"/>
      <c r="C441" s="28"/>
    </row>
    <row r="442">
      <c r="A442" s="12"/>
      <c r="B442" s="25"/>
      <c r="C442" s="28"/>
    </row>
    <row r="443">
      <c r="A443" s="12"/>
      <c r="B443" s="25"/>
      <c r="C443" s="28"/>
    </row>
    <row r="444">
      <c r="A444" s="12"/>
      <c r="B444" s="25"/>
      <c r="C444" s="28"/>
    </row>
    <row r="445">
      <c r="A445" s="12"/>
      <c r="B445" s="25"/>
      <c r="C445" s="28"/>
    </row>
    <row r="446">
      <c r="A446" s="12"/>
      <c r="B446" s="25"/>
      <c r="C446" s="28"/>
    </row>
    <row r="447">
      <c r="A447" s="12"/>
      <c r="B447" s="25"/>
      <c r="C447" s="28"/>
    </row>
    <row r="448">
      <c r="A448" s="12"/>
      <c r="B448" s="25"/>
      <c r="C448" s="28"/>
    </row>
    <row r="449">
      <c r="A449" s="12"/>
      <c r="B449" s="25"/>
      <c r="C449" s="28"/>
    </row>
    <row r="450">
      <c r="A450" s="12"/>
      <c r="B450" s="25"/>
      <c r="C450" s="28"/>
    </row>
    <row r="451">
      <c r="A451" s="12"/>
      <c r="B451" s="25"/>
      <c r="C451" s="28"/>
    </row>
    <row r="452">
      <c r="A452" s="12"/>
      <c r="B452" s="25"/>
      <c r="C452" s="28"/>
    </row>
    <row r="453">
      <c r="A453" s="12"/>
      <c r="B453" s="25"/>
      <c r="C453" s="28"/>
    </row>
    <row r="454">
      <c r="A454" s="12"/>
      <c r="B454" s="25"/>
      <c r="C454" s="28"/>
    </row>
    <row r="455">
      <c r="A455" s="12"/>
      <c r="B455" s="25"/>
      <c r="C455" s="28"/>
    </row>
    <row r="456">
      <c r="A456" s="12"/>
      <c r="B456" s="25"/>
      <c r="C456" s="28"/>
    </row>
    <row r="457">
      <c r="A457" s="12"/>
      <c r="B457" s="25"/>
      <c r="C457" s="28"/>
    </row>
    <row r="458">
      <c r="A458" s="12"/>
      <c r="B458" s="25"/>
      <c r="C458" s="28"/>
    </row>
    <row r="459">
      <c r="A459" s="12"/>
      <c r="B459" s="25"/>
      <c r="C459" s="28"/>
    </row>
    <row r="460">
      <c r="A460" s="12"/>
      <c r="B460" s="25"/>
      <c r="C460" s="28"/>
    </row>
    <row r="461">
      <c r="A461" s="12"/>
      <c r="B461" s="25"/>
      <c r="C461" s="28"/>
    </row>
    <row r="462">
      <c r="A462" s="12"/>
      <c r="B462" s="25"/>
      <c r="C462" s="28"/>
    </row>
    <row r="463">
      <c r="A463" s="12"/>
      <c r="B463" s="25"/>
      <c r="C463" s="28"/>
    </row>
    <row r="464">
      <c r="A464" s="12"/>
      <c r="B464" s="25"/>
      <c r="C464" s="28"/>
    </row>
    <row r="465">
      <c r="A465" s="12"/>
      <c r="B465" s="25"/>
      <c r="C465" s="28"/>
    </row>
    <row r="466">
      <c r="A466" s="12"/>
      <c r="B466" s="25"/>
      <c r="C466" s="28"/>
    </row>
    <row r="467">
      <c r="A467" s="12"/>
      <c r="B467" s="25"/>
      <c r="C467" s="28"/>
    </row>
    <row r="468">
      <c r="A468" s="12"/>
      <c r="B468" s="25"/>
      <c r="C468" s="28"/>
    </row>
    <row r="469">
      <c r="A469" s="12"/>
      <c r="B469" s="25"/>
      <c r="C469" s="28"/>
    </row>
    <row r="470">
      <c r="A470" s="12"/>
      <c r="B470" s="25"/>
      <c r="C470" s="28"/>
    </row>
    <row r="471">
      <c r="A471" s="12"/>
      <c r="B471" s="25"/>
      <c r="C471" s="28"/>
    </row>
    <row r="472">
      <c r="A472" s="12"/>
      <c r="B472" s="25"/>
      <c r="C472" s="28"/>
    </row>
    <row r="473">
      <c r="A473" s="12"/>
      <c r="B473" s="25"/>
      <c r="C473" s="28"/>
    </row>
    <row r="474">
      <c r="A474" s="12"/>
      <c r="B474" s="25"/>
      <c r="C474" s="28"/>
    </row>
    <row r="475">
      <c r="A475" s="12"/>
      <c r="B475" s="25"/>
      <c r="C475" s="28"/>
    </row>
    <row r="476">
      <c r="A476" s="12"/>
      <c r="B476" s="25"/>
      <c r="C476" s="28"/>
    </row>
    <row r="477">
      <c r="A477" s="12"/>
      <c r="B477" s="25"/>
      <c r="C477" s="28"/>
    </row>
    <row r="478">
      <c r="A478" s="12"/>
      <c r="B478" s="25"/>
      <c r="C478" s="28"/>
    </row>
    <row r="479">
      <c r="A479" s="12"/>
      <c r="B479" s="25"/>
      <c r="C479" s="28"/>
    </row>
    <row r="480">
      <c r="A480" s="12"/>
      <c r="B480" s="25"/>
      <c r="C480" s="28"/>
    </row>
    <row r="481">
      <c r="A481" s="12"/>
      <c r="B481" s="25"/>
      <c r="C481" s="28"/>
    </row>
    <row r="482">
      <c r="A482" s="12"/>
      <c r="B482" s="25"/>
      <c r="C482" s="28"/>
    </row>
    <row r="483">
      <c r="A483" s="12"/>
      <c r="B483" s="25"/>
      <c r="C483" s="28"/>
    </row>
    <row r="484">
      <c r="A484" s="12"/>
      <c r="B484" s="25"/>
      <c r="C484" s="28"/>
    </row>
    <row r="485">
      <c r="A485" s="12"/>
      <c r="B485" s="25"/>
      <c r="C485" s="28"/>
    </row>
    <row r="486">
      <c r="A486" s="12"/>
      <c r="B486" s="25"/>
      <c r="C486" s="28"/>
    </row>
    <row r="487">
      <c r="A487" s="12"/>
      <c r="B487" s="25"/>
      <c r="C487" s="28"/>
    </row>
    <row r="488">
      <c r="A488" s="12"/>
      <c r="B488" s="25"/>
      <c r="C488" s="28"/>
    </row>
    <row r="489">
      <c r="A489" s="12"/>
      <c r="B489" s="25"/>
      <c r="C489" s="28"/>
    </row>
    <row r="490">
      <c r="A490" s="12"/>
      <c r="B490" s="25"/>
      <c r="C490" s="28"/>
    </row>
    <row r="491">
      <c r="A491" s="12"/>
      <c r="B491" s="25"/>
      <c r="C491" s="28"/>
    </row>
    <row r="492">
      <c r="A492" s="12"/>
      <c r="B492" s="25"/>
      <c r="C492" s="28"/>
    </row>
    <row r="493">
      <c r="A493" s="12"/>
      <c r="B493" s="25"/>
      <c r="C493" s="28"/>
    </row>
    <row r="494">
      <c r="A494" s="12"/>
      <c r="B494" s="25"/>
      <c r="C494" s="28"/>
    </row>
    <row r="495">
      <c r="A495" s="12"/>
      <c r="B495" s="25"/>
      <c r="C495" s="28"/>
    </row>
    <row r="496">
      <c r="A496" s="12"/>
      <c r="B496" s="25"/>
      <c r="C496" s="28"/>
    </row>
    <row r="497">
      <c r="A497" s="12"/>
      <c r="B497" s="25"/>
      <c r="C497" s="28"/>
    </row>
    <row r="498">
      <c r="A498" s="12"/>
      <c r="B498" s="25"/>
      <c r="C498" s="28"/>
    </row>
    <row r="499">
      <c r="A499" s="12"/>
      <c r="B499" s="25"/>
      <c r="C499" s="28"/>
    </row>
    <row r="500">
      <c r="A500" s="12"/>
      <c r="B500" s="25"/>
      <c r="C500" s="28"/>
    </row>
    <row r="501">
      <c r="A501" s="12"/>
      <c r="B501" s="25"/>
      <c r="C501" s="28"/>
    </row>
    <row r="502">
      <c r="A502" s="12"/>
      <c r="B502" s="25"/>
      <c r="C502" s="28"/>
    </row>
    <row r="503">
      <c r="A503" s="12"/>
      <c r="B503" s="25"/>
      <c r="C503" s="28"/>
    </row>
    <row r="504">
      <c r="A504" s="12"/>
      <c r="B504" s="25"/>
      <c r="C504" s="28"/>
    </row>
    <row r="505">
      <c r="A505" s="12"/>
      <c r="B505" s="25"/>
      <c r="C505" s="28"/>
    </row>
    <row r="506">
      <c r="A506" s="12"/>
      <c r="B506" s="25"/>
      <c r="C506" s="28"/>
    </row>
    <row r="507">
      <c r="A507" s="12"/>
      <c r="B507" s="25"/>
      <c r="C507" s="28"/>
    </row>
    <row r="508">
      <c r="A508" s="12"/>
      <c r="B508" s="25"/>
      <c r="C508" s="28"/>
    </row>
    <row r="509">
      <c r="A509" s="12"/>
      <c r="B509" s="25"/>
      <c r="C509" s="28"/>
    </row>
    <row r="510">
      <c r="A510" s="12"/>
      <c r="B510" s="25"/>
      <c r="C510" s="28"/>
    </row>
    <row r="511">
      <c r="A511" s="12"/>
      <c r="B511" s="25"/>
      <c r="C511" s="28"/>
    </row>
    <row r="512">
      <c r="A512" s="12"/>
      <c r="B512" s="25"/>
      <c r="C512" s="28"/>
    </row>
    <row r="513">
      <c r="A513" s="12"/>
      <c r="B513" s="25"/>
      <c r="C513" s="28"/>
    </row>
    <row r="514">
      <c r="A514" s="12"/>
      <c r="B514" s="25"/>
      <c r="C514" s="28"/>
    </row>
    <row r="515">
      <c r="A515" s="12"/>
      <c r="B515" s="25"/>
      <c r="C515" s="28"/>
    </row>
    <row r="516">
      <c r="A516" s="12"/>
      <c r="B516" s="25"/>
      <c r="C516" s="28"/>
    </row>
    <row r="517">
      <c r="A517" s="12"/>
      <c r="B517" s="25"/>
      <c r="C517" s="28"/>
    </row>
    <row r="518">
      <c r="A518" s="12"/>
      <c r="B518" s="25"/>
      <c r="C518" s="28"/>
    </row>
    <row r="519">
      <c r="A519" s="12"/>
      <c r="B519" s="25"/>
      <c r="C519" s="28"/>
    </row>
    <row r="520">
      <c r="A520" s="12"/>
      <c r="B520" s="25"/>
      <c r="C520" s="28"/>
    </row>
    <row r="521">
      <c r="A521" s="12"/>
      <c r="B521" s="25"/>
      <c r="C521" s="28"/>
    </row>
    <row r="522">
      <c r="A522" s="12"/>
      <c r="B522" s="25"/>
      <c r="C522" s="28"/>
    </row>
    <row r="523">
      <c r="A523" s="12"/>
      <c r="B523" s="25"/>
      <c r="C523" s="28"/>
    </row>
    <row r="524">
      <c r="A524" s="12"/>
      <c r="B524" s="25"/>
      <c r="C524" s="28"/>
    </row>
    <row r="525">
      <c r="A525" s="12"/>
      <c r="B525" s="25"/>
      <c r="C525" s="28"/>
    </row>
    <row r="526">
      <c r="A526" s="12"/>
      <c r="B526" s="25"/>
      <c r="C526" s="28"/>
    </row>
    <row r="527">
      <c r="A527" s="12"/>
      <c r="B527" s="25"/>
      <c r="C527" s="28"/>
    </row>
    <row r="528">
      <c r="A528" s="12"/>
      <c r="B528" s="25"/>
      <c r="C528" s="28"/>
    </row>
    <row r="529">
      <c r="A529" s="12"/>
      <c r="B529" s="25"/>
      <c r="C529" s="28"/>
    </row>
    <row r="530">
      <c r="A530" s="12"/>
      <c r="B530" s="25"/>
      <c r="C530" s="28"/>
    </row>
    <row r="531">
      <c r="A531" s="12"/>
      <c r="B531" s="25"/>
      <c r="C531" s="28"/>
    </row>
    <row r="532">
      <c r="A532" s="12"/>
      <c r="B532" s="25"/>
      <c r="C532" s="28"/>
    </row>
    <row r="533">
      <c r="A533" s="12"/>
      <c r="B533" s="25"/>
      <c r="C533" s="28"/>
    </row>
    <row r="534">
      <c r="A534" s="12"/>
      <c r="B534" s="25"/>
      <c r="C534" s="28"/>
    </row>
    <row r="535">
      <c r="A535" s="12"/>
      <c r="B535" s="25"/>
      <c r="C535" s="28"/>
    </row>
    <row r="536">
      <c r="A536" s="12"/>
      <c r="B536" s="25"/>
      <c r="C536" s="28"/>
    </row>
    <row r="537">
      <c r="A537" s="12"/>
      <c r="B537" s="25"/>
      <c r="C537" s="28"/>
    </row>
    <row r="538">
      <c r="A538" s="12"/>
      <c r="B538" s="25"/>
      <c r="C538" s="28"/>
    </row>
    <row r="539">
      <c r="A539" s="12"/>
      <c r="B539" s="25"/>
      <c r="C539" s="28"/>
    </row>
    <row r="540">
      <c r="A540" s="12"/>
      <c r="B540" s="25"/>
      <c r="C540" s="28"/>
    </row>
    <row r="541">
      <c r="A541" s="12"/>
      <c r="B541" s="25"/>
      <c r="C541" s="28"/>
    </row>
    <row r="542">
      <c r="A542" s="12"/>
      <c r="B542" s="25"/>
      <c r="C542" s="28"/>
    </row>
    <row r="543">
      <c r="A543" s="12"/>
      <c r="B543" s="25"/>
      <c r="C543" s="28"/>
    </row>
    <row r="544">
      <c r="A544" s="12"/>
      <c r="B544" s="25"/>
      <c r="C544" s="28"/>
    </row>
    <row r="545">
      <c r="A545" s="12"/>
      <c r="B545" s="25"/>
      <c r="C545" s="28"/>
    </row>
    <row r="546">
      <c r="A546" s="12"/>
      <c r="B546" s="25"/>
      <c r="C546" s="28"/>
    </row>
    <row r="547">
      <c r="A547" s="12"/>
      <c r="B547" s="25"/>
      <c r="C547" s="28"/>
    </row>
    <row r="548">
      <c r="A548" s="12"/>
      <c r="B548" s="25"/>
      <c r="C548" s="28"/>
    </row>
    <row r="549">
      <c r="A549" s="12"/>
      <c r="B549" s="25"/>
      <c r="C549" s="28"/>
    </row>
    <row r="550">
      <c r="A550" s="12"/>
      <c r="B550" s="25"/>
      <c r="C550" s="28"/>
    </row>
    <row r="551">
      <c r="A551" s="12"/>
      <c r="B551" s="25"/>
      <c r="C551" s="28"/>
    </row>
    <row r="552">
      <c r="A552" s="12"/>
      <c r="B552" s="25"/>
      <c r="C552" s="28"/>
    </row>
    <row r="553">
      <c r="A553" s="12"/>
      <c r="B553" s="25"/>
      <c r="C553" s="28"/>
    </row>
    <row r="554">
      <c r="A554" s="12"/>
      <c r="B554" s="25"/>
      <c r="C554" s="28"/>
    </row>
    <row r="555">
      <c r="A555" s="12"/>
      <c r="B555" s="25"/>
      <c r="C555" s="28"/>
    </row>
    <row r="556">
      <c r="A556" s="12"/>
      <c r="B556" s="25"/>
      <c r="C556" s="28"/>
    </row>
    <row r="557">
      <c r="A557" s="12"/>
      <c r="B557" s="25"/>
      <c r="C557" s="28"/>
    </row>
    <row r="558">
      <c r="A558" s="12"/>
      <c r="B558" s="25"/>
      <c r="C558" s="28"/>
    </row>
    <row r="559">
      <c r="A559" s="12"/>
      <c r="B559" s="25"/>
      <c r="C559" s="28"/>
    </row>
    <row r="560">
      <c r="A560" s="12"/>
      <c r="B560" s="25"/>
      <c r="C560" s="28"/>
    </row>
    <row r="561">
      <c r="A561" s="12"/>
      <c r="B561" s="25"/>
      <c r="C561" s="28"/>
    </row>
    <row r="562">
      <c r="A562" s="12"/>
      <c r="B562" s="25"/>
      <c r="C562" s="28"/>
    </row>
    <row r="563">
      <c r="A563" s="12"/>
      <c r="B563" s="25"/>
      <c r="C563" s="28"/>
    </row>
    <row r="564">
      <c r="A564" s="12"/>
      <c r="B564" s="25"/>
      <c r="C564" s="28"/>
    </row>
    <row r="565">
      <c r="A565" s="12"/>
      <c r="B565" s="25"/>
      <c r="C565" s="28"/>
    </row>
    <row r="566">
      <c r="A566" s="12"/>
      <c r="B566" s="25"/>
      <c r="C566" s="28"/>
    </row>
    <row r="567">
      <c r="A567" s="12"/>
      <c r="B567" s="25"/>
      <c r="C567" s="28"/>
    </row>
    <row r="568">
      <c r="A568" s="12"/>
      <c r="B568" s="25"/>
      <c r="C568" s="28"/>
    </row>
    <row r="569">
      <c r="A569" s="12"/>
      <c r="B569" s="25"/>
      <c r="C569" s="28"/>
    </row>
    <row r="570">
      <c r="A570" s="12"/>
      <c r="B570" s="25"/>
      <c r="C570" s="28"/>
    </row>
    <row r="571">
      <c r="A571" s="12"/>
      <c r="B571" s="25"/>
      <c r="C571" s="28"/>
    </row>
    <row r="572">
      <c r="A572" s="12"/>
      <c r="B572" s="25"/>
      <c r="C572" s="28"/>
    </row>
    <row r="573">
      <c r="A573" s="12"/>
      <c r="B573" s="25"/>
      <c r="C573" s="28"/>
    </row>
    <row r="574">
      <c r="A574" s="12"/>
      <c r="B574" s="25"/>
      <c r="C574" s="28"/>
    </row>
    <row r="575">
      <c r="A575" s="12"/>
      <c r="B575" s="25"/>
      <c r="C575" s="28"/>
    </row>
    <row r="576">
      <c r="A576" s="12"/>
      <c r="B576" s="25"/>
      <c r="C576" s="28"/>
    </row>
    <row r="577">
      <c r="A577" s="12"/>
      <c r="B577" s="25"/>
      <c r="C577" s="28"/>
    </row>
    <row r="578">
      <c r="A578" s="12"/>
      <c r="B578" s="25"/>
      <c r="C578" s="28"/>
    </row>
    <row r="579">
      <c r="A579" s="12"/>
      <c r="B579" s="25"/>
      <c r="C579" s="28"/>
    </row>
    <row r="580">
      <c r="A580" s="12"/>
      <c r="B580" s="25"/>
      <c r="C580" s="28"/>
    </row>
    <row r="581">
      <c r="A581" s="12"/>
      <c r="B581" s="25"/>
      <c r="C581" s="28"/>
    </row>
    <row r="582">
      <c r="A582" s="12"/>
      <c r="B582" s="25"/>
      <c r="C582" s="28"/>
    </row>
    <row r="583">
      <c r="A583" s="12"/>
      <c r="B583" s="25"/>
      <c r="C583" s="28"/>
    </row>
    <row r="584">
      <c r="A584" s="12"/>
      <c r="B584" s="25"/>
      <c r="C584" s="28"/>
    </row>
    <row r="585">
      <c r="A585" s="12"/>
      <c r="B585" s="25"/>
      <c r="C585" s="28"/>
    </row>
    <row r="586">
      <c r="A586" s="12"/>
      <c r="B586" s="25"/>
      <c r="C586" s="28"/>
    </row>
    <row r="587">
      <c r="A587" s="12"/>
      <c r="B587" s="25"/>
      <c r="C587" s="28"/>
    </row>
    <row r="588">
      <c r="A588" s="12"/>
      <c r="B588" s="25"/>
      <c r="C588" s="28"/>
    </row>
    <row r="589">
      <c r="A589" s="12"/>
      <c r="B589" s="25"/>
      <c r="C589" s="28"/>
    </row>
    <row r="590">
      <c r="A590" s="12"/>
      <c r="B590" s="25"/>
      <c r="C590" s="28"/>
    </row>
    <row r="591">
      <c r="A591" s="12"/>
      <c r="B591" s="25"/>
      <c r="C591" s="28"/>
    </row>
    <row r="592">
      <c r="A592" s="12"/>
      <c r="B592" s="25"/>
      <c r="C592" s="28"/>
    </row>
    <row r="593">
      <c r="A593" s="12"/>
      <c r="B593" s="25"/>
      <c r="C593" s="28"/>
    </row>
    <row r="594">
      <c r="A594" s="12"/>
      <c r="B594" s="25"/>
      <c r="C594" s="28"/>
    </row>
    <row r="595">
      <c r="A595" s="12"/>
      <c r="B595" s="25"/>
      <c r="C595" s="28"/>
    </row>
    <row r="596">
      <c r="A596" s="12"/>
      <c r="B596" s="25"/>
      <c r="C596" s="28"/>
    </row>
    <row r="597">
      <c r="A597" s="12"/>
      <c r="B597" s="25"/>
      <c r="C597" s="28"/>
    </row>
    <row r="598">
      <c r="A598" s="12"/>
      <c r="B598" s="25"/>
      <c r="C598" s="28"/>
    </row>
    <row r="599">
      <c r="A599" s="12"/>
      <c r="B599" s="25"/>
      <c r="C599" s="28"/>
    </row>
    <row r="600">
      <c r="A600" s="12"/>
      <c r="B600" s="25"/>
      <c r="C600" s="28"/>
    </row>
    <row r="601">
      <c r="A601" s="12"/>
      <c r="B601" s="25"/>
      <c r="C601" s="28"/>
    </row>
    <row r="602">
      <c r="A602" s="12"/>
      <c r="B602" s="25"/>
      <c r="C602" s="28"/>
    </row>
    <row r="603">
      <c r="A603" s="12"/>
      <c r="B603" s="25"/>
      <c r="C603" s="28"/>
    </row>
    <row r="604">
      <c r="A604" s="12"/>
      <c r="B604" s="25"/>
      <c r="C604" s="28"/>
    </row>
    <row r="605">
      <c r="A605" s="12"/>
      <c r="B605" s="25"/>
      <c r="C605" s="28"/>
    </row>
    <row r="606">
      <c r="A606" s="12"/>
      <c r="B606" s="25"/>
      <c r="C606" s="28"/>
    </row>
    <row r="607">
      <c r="A607" s="12"/>
      <c r="B607" s="25"/>
      <c r="C607" s="28"/>
    </row>
    <row r="608">
      <c r="A608" s="12"/>
      <c r="B608" s="25"/>
      <c r="C608" s="28"/>
    </row>
    <row r="609">
      <c r="A609" s="12"/>
      <c r="B609" s="25"/>
      <c r="C609" s="28"/>
    </row>
    <row r="610">
      <c r="A610" s="12"/>
      <c r="B610" s="25"/>
      <c r="C610" s="28"/>
    </row>
    <row r="611">
      <c r="A611" s="12"/>
      <c r="B611" s="25"/>
      <c r="C611" s="28"/>
    </row>
    <row r="612">
      <c r="A612" s="12"/>
      <c r="B612" s="25"/>
      <c r="C612" s="28"/>
    </row>
    <row r="613">
      <c r="A613" s="12"/>
      <c r="B613" s="25"/>
      <c r="C613" s="28"/>
    </row>
    <row r="614">
      <c r="A614" s="12"/>
      <c r="B614" s="25"/>
      <c r="C614" s="28"/>
    </row>
    <row r="615">
      <c r="A615" s="12"/>
      <c r="B615" s="25"/>
      <c r="C615" s="28"/>
    </row>
    <row r="616">
      <c r="A616" s="12"/>
      <c r="B616" s="25"/>
      <c r="C616" s="28"/>
    </row>
    <row r="617">
      <c r="A617" s="12"/>
      <c r="B617" s="25"/>
      <c r="C617" s="28"/>
    </row>
    <row r="618">
      <c r="A618" s="12"/>
      <c r="B618" s="25"/>
      <c r="C618" s="28"/>
    </row>
    <row r="619">
      <c r="A619" s="12"/>
      <c r="B619" s="25"/>
      <c r="C619" s="28"/>
    </row>
    <row r="620">
      <c r="A620" s="12"/>
      <c r="B620" s="25"/>
      <c r="C620" s="28"/>
    </row>
    <row r="621">
      <c r="A621" s="12"/>
      <c r="B621" s="25"/>
      <c r="C621" s="28"/>
    </row>
    <row r="622">
      <c r="A622" s="12"/>
      <c r="B622" s="25"/>
      <c r="C622" s="28"/>
    </row>
    <row r="623">
      <c r="A623" s="12"/>
      <c r="B623" s="25"/>
      <c r="C623" s="28"/>
    </row>
    <row r="624">
      <c r="A624" s="12"/>
      <c r="B624" s="25"/>
      <c r="C624" s="28"/>
    </row>
    <row r="625">
      <c r="A625" s="12"/>
      <c r="B625" s="25"/>
      <c r="C625" s="28"/>
    </row>
    <row r="626">
      <c r="A626" s="12"/>
      <c r="B626" s="25"/>
      <c r="C626" s="28"/>
    </row>
    <row r="627">
      <c r="A627" s="12"/>
      <c r="B627" s="25"/>
      <c r="C627" s="28"/>
    </row>
    <row r="628">
      <c r="A628" s="12"/>
      <c r="B628" s="25"/>
      <c r="C628" s="28"/>
    </row>
    <row r="629">
      <c r="A629" s="12"/>
      <c r="B629" s="25"/>
      <c r="C629" s="28"/>
    </row>
    <row r="630">
      <c r="A630" s="12"/>
      <c r="B630" s="25"/>
      <c r="C630" s="28"/>
    </row>
    <row r="631">
      <c r="A631" s="12"/>
      <c r="B631" s="25"/>
      <c r="C631" s="28"/>
    </row>
    <row r="632">
      <c r="A632" s="12"/>
      <c r="B632" s="25"/>
      <c r="C632" s="28"/>
    </row>
    <row r="633">
      <c r="A633" s="12"/>
      <c r="B633" s="25"/>
      <c r="C633" s="28"/>
    </row>
    <row r="634">
      <c r="A634" s="12"/>
      <c r="B634" s="25"/>
      <c r="C634" s="28"/>
    </row>
    <row r="635">
      <c r="A635" s="12"/>
      <c r="B635" s="25"/>
      <c r="C635" s="28"/>
    </row>
    <row r="636">
      <c r="A636" s="12"/>
      <c r="B636" s="25"/>
      <c r="C636" s="28"/>
    </row>
    <row r="637">
      <c r="A637" s="12"/>
      <c r="B637" s="25"/>
      <c r="C637" s="28"/>
    </row>
    <row r="638">
      <c r="A638" s="12"/>
      <c r="B638" s="25"/>
      <c r="C638" s="28"/>
    </row>
    <row r="639">
      <c r="A639" s="12"/>
      <c r="B639" s="25"/>
      <c r="C639" s="28"/>
    </row>
    <row r="640">
      <c r="A640" s="12"/>
      <c r="B640" s="25"/>
      <c r="C640" s="28"/>
    </row>
    <row r="641">
      <c r="A641" s="12"/>
      <c r="B641" s="25"/>
      <c r="C641" s="28"/>
    </row>
    <row r="642">
      <c r="A642" s="12"/>
      <c r="B642" s="25"/>
      <c r="C642" s="28"/>
    </row>
    <row r="643">
      <c r="A643" s="12"/>
      <c r="B643" s="25"/>
      <c r="C643" s="28"/>
    </row>
    <row r="644">
      <c r="A644" s="12"/>
      <c r="B644" s="25"/>
      <c r="C644" s="28"/>
    </row>
    <row r="645">
      <c r="A645" s="12"/>
      <c r="B645" s="25"/>
      <c r="C645" s="28"/>
    </row>
    <row r="646">
      <c r="A646" s="12"/>
      <c r="B646" s="25"/>
      <c r="C646" s="28"/>
    </row>
    <row r="647">
      <c r="A647" s="12"/>
      <c r="B647" s="25"/>
      <c r="C647" s="28"/>
    </row>
    <row r="648">
      <c r="A648" s="12"/>
      <c r="B648" s="25"/>
      <c r="C648" s="28"/>
    </row>
    <row r="649">
      <c r="A649" s="12"/>
      <c r="B649" s="25"/>
      <c r="C649" s="28"/>
    </row>
    <row r="650">
      <c r="A650" s="12"/>
      <c r="B650" s="25"/>
      <c r="C650" s="28"/>
    </row>
    <row r="651">
      <c r="A651" s="12"/>
      <c r="B651" s="25"/>
      <c r="C651" s="28"/>
    </row>
    <row r="652">
      <c r="A652" s="12"/>
      <c r="B652" s="25"/>
      <c r="C652" s="28"/>
    </row>
    <row r="653">
      <c r="A653" s="12"/>
      <c r="B653" s="25"/>
      <c r="C653" s="28"/>
    </row>
    <row r="654">
      <c r="A654" s="12"/>
      <c r="B654" s="25"/>
      <c r="C654" s="28"/>
    </row>
    <row r="655">
      <c r="A655" s="12"/>
      <c r="B655" s="25"/>
      <c r="C655" s="28"/>
    </row>
    <row r="656">
      <c r="A656" s="12"/>
      <c r="B656" s="25"/>
      <c r="C656" s="28"/>
    </row>
    <row r="657">
      <c r="A657" s="12"/>
      <c r="B657" s="25"/>
      <c r="C657" s="28"/>
    </row>
    <row r="658">
      <c r="A658" s="12"/>
      <c r="B658" s="25"/>
      <c r="C658" s="28"/>
    </row>
    <row r="659">
      <c r="A659" s="12"/>
      <c r="B659" s="25"/>
      <c r="C659" s="28"/>
    </row>
    <row r="660">
      <c r="A660" s="12"/>
      <c r="B660" s="25"/>
      <c r="C660" s="28"/>
    </row>
    <row r="661">
      <c r="A661" s="12"/>
      <c r="B661" s="25"/>
      <c r="C661" s="28"/>
    </row>
    <row r="662">
      <c r="A662" s="12"/>
      <c r="B662" s="25"/>
      <c r="C662" s="28"/>
    </row>
    <row r="663">
      <c r="A663" s="12"/>
      <c r="B663" s="25"/>
      <c r="C663" s="28"/>
    </row>
    <row r="664">
      <c r="A664" s="12"/>
      <c r="B664" s="25"/>
      <c r="C664" s="28"/>
    </row>
    <row r="665">
      <c r="A665" s="12"/>
      <c r="B665" s="25"/>
      <c r="C665" s="28"/>
    </row>
    <row r="666">
      <c r="A666" s="12"/>
      <c r="B666" s="25"/>
      <c r="C666" s="28"/>
    </row>
    <row r="667">
      <c r="A667" s="12"/>
      <c r="B667" s="25"/>
      <c r="C667" s="28"/>
    </row>
    <row r="668">
      <c r="A668" s="12"/>
      <c r="B668" s="25"/>
      <c r="C668" s="28"/>
    </row>
    <row r="669">
      <c r="A669" s="12"/>
      <c r="B669" s="25"/>
      <c r="C669" s="28"/>
    </row>
    <row r="670">
      <c r="A670" s="12"/>
      <c r="B670" s="25"/>
      <c r="C670" s="28"/>
    </row>
    <row r="671">
      <c r="A671" s="12"/>
      <c r="B671" s="25"/>
      <c r="C671" s="28"/>
    </row>
    <row r="672">
      <c r="A672" s="12"/>
      <c r="B672" s="25"/>
      <c r="C672" s="28"/>
    </row>
    <row r="673">
      <c r="A673" s="12"/>
      <c r="B673" s="25"/>
      <c r="C673" s="28"/>
    </row>
    <row r="674">
      <c r="A674" s="12"/>
      <c r="B674" s="25"/>
      <c r="C674" s="28"/>
    </row>
    <row r="675">
      <c r="A675" s="12"/>
      <c r="B675" s="25"/>
      <c r="C675" s="28"/>
    </row>
    <row r="676">
      <c r="A676" s="12"/>
      <c r="B676" s="25"/>
      <c r="C676" s="28"/>
    </row>
    <row r="677">
      <c r="A677" s="12"/>
      <c r="B677" s="25"/>
      <c r="C677" s="28"/>
    </row>
    <row r="678">
      <c r="A678" s="12"/>
      <c r="B678" s="25"/>
      <c r="C678" s="28"/>
    </row>
    <row r="679">
      <c r="A679" s="12"/>
      <c r="B679" s="25"/>
      <c r="C679" s="28"/>
    </row>
    <row r="680">
      <c r="A680" s="12"/>
      <c r="B680" s="25"/>
      <c r="C680" s="28"/>
    </row>
    <row r="681">
      <c r="A681" s="12"/>
      <c r="B681" s="25"/>
      <c r="C681" s="28"/>
    </row>
    <row r="682">
      <c r="A682" s="12"/>
      <c r="B682" s="25"/>
      <c r="C682" s="28"/>
    </row>
    <row r="683">
      <c r="A683" s="12"/>
      <c r="B683" s="25"/>
      <c r="C683" s="28"/>
    </row>
    <row r="684">
      <c r="A684" s="12"/>
      <c r="B684" s="25"/>
      <c r="C684" s="28"/>
    </row>
    <row r="685">
      <c r="A685" s="12"/>
      <c r="B685" s="25"/>
      <c r="C685" s="28"/>
    </row>
    <row r="686">
      <c r="A686" s="12"/>
      <c r="B686" s="25"/>
      <c r="C686" s="28"/>
    </row>
    <row r="687">
      <c r="A687" s="12"/>
      <c r="B687" s="25"/>
      <c r="C687" s="28"/>
    </row>
    <row r="688">
      <c r="A688" s="12"/>
      <c r="B688" s="25"/>
      <c r="C688" s="28"/>
    </row>
    <row r="689">
      <c r="A689" s="12"/>
      <c r="B689" s="25"/>
      <c r="C689" s="28"/>
    </row>
    <row r="690">
      <c r="A690" s="12"/>
      <c r="B690" s="25"/>
      <c r="C690" s="28"/>
    </row>
    <row r="691">
      <c r="A691" s="12"/>
      <c r="B691" s="25"/>
      <c r="C691" s="28"/>
    </row>
    <row r="692">
      <c r="A692" s="12"/>
      <c r="B692" s="25"/>
      <c r="C692" s="28"/>
    </row>
    <row r="693">
      <c r="A693" s="12"/>
      <c r="B693" s="25"/>
      <c r="C693" s="28"/>
    </row>
    <row r="694">
      <c r="A694" s="12"/>
      <c r="B694" s="25"/>
      <c r="C694" s="28"/>
    </row>
    <row r="695">
      <c r="A695" s="12"/>
      <c r="B695" s="25"/>
      <c r="C695" s="28"/>
    </row>
    <row r="696">
      <c r="A696" s="12"/>
      <c r="B696" s="25"/>
      <c r="C696" s="28"/>
    </row>
    <row r="697">
      <c r="A697" s="12"/>
      <c r="B697" s="25"/>
      <c r="C697" s="28"/>
    </row>
    <row r="698">
      <c r="A698" s="12"/>
      <c r="B698" s="25"/>
      <c r="C698" s="28"/>
    </row>
    <row r="699">
      <c r="A699" s="12"/>
      <c r="B699" s="25"/>
      <c r="C699" s="28"/>
    </row>
    <row r="700">
      <c r="A700" s="12"/>
      <c r="B700" s="25"/>
      <c r="C700" s="28"/>
    </row>
    <row r="701">
      <c r="A701" s="12"/>
      <c r="B701" s="25"/>
      <c r="C701" s="28"/>
    </row>
    <row r="702">
      <c r="A702" s="12"/>
      <c r="B702" s="25"/>
      <c r="C702" s="28"/>
    </row>
    <row r="703">
      <c r="A703" s="12"/>
      <c r="B703" s="25"/>
      <c r="C703" s="28"/>
    </row>
    <row r="704">
      <c r="A704" s="12"/>
      <c r="B704" s="25"/>
      <c r="C704" s="28"/>
    </row>
    <row r="705">
      <c r="A705" s="12"/>
      <c r="B705" s="25"/>
      <c r="C705" s="28"/>
    </row>
    <row r="706">
      <c r="A706" s="12"/>
      <c r="B706" s="25"/>
      <c r="C706" s="28"/>
    </row>
    <row r="707">
      <c r="A707" s="12"/>
      <c r="B707" s="25"/>
      <c r="C707" s="28"/>
    </row>
    <row r="708">
      <c r="A708" s="12"/>
      <c r="B708" s="25"/>
      <c r="C708" s="28"/>
    </row>
    <row r="709">
      <c r="A709" s="12"/>
      <c r="B709" s="25"/>
      <c r="C709" s="28"/>
    </row>
    <row r="710">
      <c r="A710" s="12"/>
      <c r="B710" s="25"/>
      <c r="C710" s="28"/>
    </row>
    <row r="711">
      <c r="A711" s="12"/>
      <c r="B711" s="25"/>
      <c r="C711" s="28"/>
    </row>
    <row r="712">
      <c r="A712" s="12"/>
      <c r="B712" s="25"/>
      <c r="C712" s="28"/>
    </row>
    <row r="713">
      <c r="A713" s="12"/>
      <c r="B713" s="25"/>
      <c r="C713" s="28"/>
    </row>
    <row r="714">
      <c r="A714" s="12"/>
      <c r="B714" s="25"/>
      <c r="C714" s="28"/>
    </row>
    <row r="715">
      <c r="A715" s="12"/>
      <c r="B715" s="25"/>
      <c r="C715" s="28"/>
    </row>
    <row r="716">
      <c r="A716" s="12"/>
      <c r="B716" s="25"/>
      <c r="C716" s="28"/>
    </row>
    <row r="717">
      <c r="A717" s="12"/>
      <c r="B717" s="25"/>
      <c r="C717" s="28"/>
    </row>
    <row r="718">
      <c r="A718" s="12"/>
      <c r="B718" s="25"/>
      <c r="C718" s="28"/>
    </row>
    <row r="719">
      <c r="A719" s="12"/>
      <c r="B719" s="25"/>
      <c r="C719" s="28"/>
    </row>
    <row r="720">
      <c r="A720" s="12"/>
      <c r="B720" s="25"/>
      <c r="C720" s="28"/>
    </row>
    <row r="721">
      <c r="A721" s="12"/>
      <c r="B721" s="25"/>
      <c r="C721" s="28"/>
    </row>
    <row r="722">
      <c r="A722" s="12"/>
      <c r="B722" s="25"/>
      <c r="C722" s="28"/>
    </row>
    <row r="723">
      <c r="A723" s="12"/>
      <c r="B723" s="25"/>
      <c r="C723" s="28"/>
    </row>
    <row r="724">
      <c r="A724" s="12"/>
      <c r="B724" s="25"/>
      <c r="C724" s="28"/>
    </row>
    <row r="725">
      <c r="A725" s="12"/>
      <c r="B725" s="25"/>
      <c r="C725" s="28"/>
    </row>
    <row r="726">
      <c r="A726" s="12"/>
      <c r="B726" s="25"/>
      <c r="C726" s="28"/>
    </row>
    <row r="727">
      <c r="A727" s="12"/>
      <c r="B727" s="25"/>
      <c r="C727" s="28"/>
    </row>
    <row r="728">
      <c r="A728" s="12"/>
      <c r="B728" s="25"/>
      <c r="C728" s="28"/>
    </row>
    <row r="729">
      <c r="A729" s="12"/>
      <c r="B729" s="25"/>
      <c r="C729" s="28"/>
    </row>
    <row r="730">
      <c r="A730" s="12"/>
      <c r="B730" s="25"/>
      <c r="C730" s="28"/>
    </row>
    <row r="731">
      <c r="A731" s="12"/>
      <c r="B731" s="25"/>
      <c r="C731" s="28"/>
    </row>
    <row r="732">
      <c r="A732" s="12"/>
      <c r="B732" s="25"/>
      <c r="C732" s="28"/>
    </row>
    <row r="733">
      <c r="A733" s="12"/>
      <c r="B733" s="25"/>
      <c r="C733" s="28"/>
    </row>
    <row r="734">
      <c r="A734" s="12"/>
      <c r="B734" s="25"/>
      <c r="C734" s="28"/>
    </row>
    <row r="735">
      <c r="A735" s="12"/>
      <c r="B735" s="25"/>
      <c r="C735" s="28"/>
    </row>
    <row r="736">
      <c r="A736" s="12"/>
      <c r="B736" s="25"/>
      <c r="C736" s="28"/>
    </row>
    <row r="737">
      <c r="A737" s="12"/>
      <c r="B737" s="25"/>
      <c r="C737" s="28"/>
    </row>
    <row r="738">
      <c r="A738" s="12"/>
      <c r="B738" s="25"/>
      <c r="C738" s="28"/>
    </row>
    <row r="739">
      <c r="A739" s="12"/>
      <c r="B739" s="25"/>
      <c r="C739" s="28"/>
    </row>
    <row r="740">
      <c r="A740" s="12"/>
      <c r="B740" s="25"/>
      <c r="C740" s="28"/>
    </row>
    <row r="741">
      <c r="A741" s="12"/>
      <c r="B741" s="25"/>
      <c r="C741" s="28"/>
    </row>
    <row r="742">
      <c r="A742" s="12"/>
      <c r="B742" s="25"/>
      <c r="C742" s="28"/>
    </row>
    <row r="743">
      <c r="A743" s="12"/>
      <c r="B743" s="25"/>
      <c r="C743" s="28"/>
    </row>
    <row r="744">
      <c r="A744" s="12"/>
      <c r="B744" s="25"/>
      <c r="C744" s="28"/>
    </row>
    <row r="745">
      <c r="A745" s="12"/>
      <c r="B745" s="25"/>
      <c r="C745" s="28"/>
    </row>
    <row r="746">
      <c r="A746" s="12"/>
      <c r="B746" s="25"/>
      <c r="C746" s="28"/>
    </row>
    <row r="747">
      <c r="A747" s="12"/>
      <c r="B747" s="25"/>
      <c r="C747" s="28"/>
    </row>
    <row r="748">
      <c r="A748" s="12"/>
      <c r="B748" s="25"/>
      <c r="C748" s="28"/>
    </row>
    <row r="749">
      <c r="A749" s="12"/>
      <c r="B749" s="25"/>
      <c r="C749" s="28"/>
    </row>
    <row r="750">
      <c r="A750" s="12"/>
      <c r="B750" s="25"/>
      <c r="C750" s="28"/>
    </row>
    <row r="751">
      <c r="A751" s="12"/>
      <c r="B751" s="25"/>
      <c r="C751" s="28"/>
    </row>
    <row r="752">
      <c r="A752" s="12"/>
      <c r="B752" s="25"/>
      <c r="C752" s="28"/>
    </row>
    <row r="753">
      <c r="A753" s="12"/>
      <c r="B753" s="25"/>
      <c r="C753" s="28"/>
    </row>
    <row r="754">
      <c r="A754" s="12"/>
      <c r="B754" s="25"/>
      <c r="C754" s="28"/>
    </row>
    <row r="755">
      <c r="A755" s="12"/>
      <c r="B755" s="25"/>
      <c r="C755" s="28"/>
    </row>
    <row r="756">
      <c r="A756" s="12"/>
      <c r="B756" s="25"/>
      <c r="C756" s="28"/>
    </row>
    <row r="757">
      <c r="A757" s="12"/>
      <c r="B757" s="25"/>
      <c r="C757" s="28"/>
    </row>
    <row r="758">
      <c r="A758" s="12"/>
      <c r="B758" s="25"/>
      <c r="C758" s="28"/>
    </row>
    <row r="759">
      <c r="A759" s="12"/>
      <c r="B759" s="25"/>
      <c r="C759" s="28"/>
    </row>
    <row r="760">
      <c r="A760" s="12"/>
      <c r="B760" s="25"/>
      <c r="C760" s="28"/>
    </row>
    <row r="761">
      <c r="A761" s="12"/>
      <c r="B761" s="25"/>
      <c r="C761" s="28"/>
    </row>
    <row r="762">
      <c r="A762" s="12"/>
      <c r="B762" s="25"/>
      <c r="C762" s="28"/>
    </row>
    <row r="763">
      <c r="A763" s="12"/>
      <c r="B763" s="25"/>
      <c r="C763" s="28"/>
    </row>
    <row r="764">
      <c r="A764" s="12"/>
      <c r="B764" s="25"/>
      <c r="C764" s="28"/>
    </row>
    <row r="765">
      <c r="A765" s="12"/>
      <c r="B765" s="25"/>
      <c r="C765" s="28"/>
    </row>
    <row r="766">
      <c r="A766" s="12"/>
      <c r="B766" s="25"/>
      <c r="C766" s="28"/>
    </row>
    <row r="767">
      <c r="A767" s="12"/>
      <c r="B767" s="25"/>
      <c r="C767" s="28"/>
    </row>
    <row r="768">
      <c r="A768" s="12"/>
      <c r="B768" s="25"/>
      <c r="C768" s="28"/>
    </row>
    <row r="769">
      <c r="A769" s="12"/>
      <c r="B769" s="25"/>
      <c r="C769" s="28"/>
    </row>
    <row r="770">
      <c r="A770" s="12"/>
      <c r="B770" s="25"/>
      <c r="C770" s="28"/>
    </row>
    <row r="771">
      <c r="A771" s="12"/>
      <c r="B771" s="25"/>
      <c r="C771" s="28"/>
    </row>
    <row r="772">
      <c r="A772" s="12"/>
      <c r="B772" s="25"/>
      <c r="C772" s="28"/>
    </row>
    <row r="773">
      <c r="A773" s="12"/>
      <c r="B773" s="25"/>
      <c r="C773" s="28"/>
    </row>
    <row r="774">
      <c r="A774" s="12"/>
      <c r="B774" s="25"/>
      <c r="C774" s="28"/>
    </row>
    <row r="775">
      <c r="A775" s="12"/>
      <c r="B775" s="25"/>
      <c r="C775" s="28"/>
    </row>
    <row r="776">
      <c r="A776" s="12"/>
      <c r="B776" s="25"/>
      <c r="C776" s="28"/>
    </row>
    <row r="777">
      <c r="A777" s="12"/>
      <c r="B777" s="25"/>
      <c r="C777" s="28"/>
    </row>
    <row r="778">
      <c r="A778" s="12"/>
      <c r="B778" s="25"/>
      <c r="C778" s="28"/>
    </row>
    <row r="779">
      <c r="A779" s="12"/>
      <c r="B779" s="25"/>
      <c r="C779" s="28"/>
    </row>
    <row r="780">
      <c r="A780" s="12"/>
      <c r="B780" s="25"/>
      <c r="C780" s="28"/>
    </row>
    <row r="781">
      <c r="A781" s="12"/>
      <c r="B781" s="25"/>
      <c r="C781" s="28"/>
    </row>
    <row r="782">
      <c r="A782" s="12"/>
      <c r="B782" s="25"/>
      <c r="C782" s="28"/>
    </row>
    <row r="783">
      <c r="A783" s="12"/>
      <c r="B783" s="25"/>
      <c r="C783" s="28"/>
    </row>
    <row r="784">
      <c r="A784" s="12"/>
      <c r="B784" s="25"/>
      <c r="C784" s="28"/>
    </row>
    <row r="785">
      <c r="A785" s="12"/>
      <c r="B785" s="25"/>
      <c r="C785" s="28"/>
    </row>
    <row r="786">
      <c r="A786" s="12"/>
      <c r="B786" s="25"/>
      <c r="C786" s="28"/>
    </row>
    <row r="787">
      <c r="A787" s="12"/>
      <c r="B787" s="25"/>
      <c r="C787" s="28"/>
    </row>
    <row r="788">
      <c r="A788" s="12"/>
      <c r="B788" s="25"/>
      <c r="C788" s="28"/>
    </row>
    <row r="789">
      <c r="A789" s="12"/>
      <c r="B789" s="25"/>
      <c r="C789" s="28"/>
    </row>
    <row r="790">
      <c r="A790" s="12"/>
      <c r="B790" s="25"/>
      <c r="C790" s="28"/>
    </row>
    <row r="791">
      <c r="A791" s="12"/>
      <c r="B791" s="25"/>
      <c r="C791" s="28"/>
    </row>
    <row r="792">
      <c r="A792" s="12"/>
      <c r="B792" s="25"/>
      <c r="C792" s="28"/>
    </row>
    <row r="793">
      <c r="A793" s="12"/>
      <c r="B793" s="25"/>
      <c r="C793" s="28"/>
    </row>
    <row r="794">
      <c r="A794" s="12"/>
      <c r="B794" s="25"/>
      <c r="C794" s="28"/>
    </row>
    <row r="795">
      <c r="A795" s="12"/>
      <c r="B795" s="25"/>
      <c r="C795" s="28"/>
    </row>
    <row r="796">
      <c r="A796" s="12"/>
      <c r="B796" s="25"/>
      <c r="C796" s="28"/>
    </row>
    <row r="797">
      <c r="A797" s="12"/>
      <c r="B797" s="25"/>
      <c r="C797" s="28"/>
    </row>
    <row r="798">
      <c r="A798" s="12"/>
      <c r="B798" s="25"/>
      <c r="C798" s="28"/>
    </row>
    <row r="799">
      <c r="A799" s="12"/>
      <c r="B799" s="25"/>
      <c r="C799" s="28"/>
    </row>
    <row r="800">
      <c r="A800" s="12"/>
      <c r="B800" s="25"/>
      <c r="C800" s="28"/>
    </row>
    <row r="801">
      <c r="A801" s="12"/>
      <c r="B801" s="25"/>
      <c r="C801" s="28"/>
    </row>
    <row r="802">
      <c r="A802" s="12"/>
      <c r="B802" s="25"/>
      <c r="C802" s="28"/>
    </row>
    <row r="803">
      <c r="A803" s="12"/>
      <c r="B803" s="25"/>
      <c r="C803" s="28"/>
    </row>
    <row r="804">
      <c r="A804" s="12"/>
      <c r="B804" s="25"/>
      <c r="C804" s="28"/>
    </row>
    <row r="805">
      <c r="A805" s="12"/>
      <c r="B805" s="25"/>
      <c r="C805" s="28"/>
    </row>
    <row r="806">
      <c r="A806" s="12"/>
      <c r="B806" s="25"/>
      <c r="C806" s="28"/>
    </row>
    <row r="807">
      <c r="A807" s="12"/>
      <c r="B807" s="25"/>
      <c r="C807" s="28"/>
    </row>
    <row r="808">
      <c r="A808" s="12"/>
      <c r="B808" s="25"/>
      <c r="C808" s="28"/>
    </row>
    <row r="809">
      <c r="A809" s="12"/>
      <c r="B809" s="25"/>
      <c r="C809" s="28"/>
    </row>
    <row r="810">
      <c r="A810" s="12"/>
      <c r="B810" s="25"/>
      <c r="C810" s="28"/>
    </row>
    <row r="811">
      <c r="A811" s="12"/>
      <c r="B811" s="25"/>
      <c r="C811" s="28"/>
    </row>
    <row r="812">
      <c r="A812" s="12"/>
      <c r="B812" s="25"/>
      <c r="C812" s="28"/>
    </row>
    <row r="813">
      <c r="A813" s="12"/>
      <c r="B813" s="25"/>
      <c r="C813" s="28"/>
    </row>
    <row r="814">
      <c r="A814" s="12"/>
      <c r="B814" s="25"/>
      <c r="C814" s="28"/>
    </row>
    <row r="815">
      <c r="A815" s="12"/>
      <c r="B815" s="25"/>
      <c r="C815" s="28"/>
    </row>
    <row r="816">
      <c r="A816" s="12"/>
      <c r="B816" s="25"/>
      <c r="C816" s="28"/>
    </row>
    <row r="817">
      <c r="A817" s="12"/>
      <c r="B817" s="25"/>
      <c r="C817" s="28"/>
    </row>
    <row r="818">
      <c r="A818" s="12"/>
      <c r="B818" s="25"/>
      <c r="C818" s="28"/>
    </row>
    <row r="819">
      <c r="A819" s="12"/>
      <c r="B819" s="25"/>
      <c r="C819" s="28"/>
    </row>
    <row r="820">
      <c r="A820" s="12"/>
      <c r="B820" s="25"/>
      <c r="C820" s="28"/>
    </row>
    <row r="821">
      <c r="A821" s="12"/>
      <c r="B821" s="25"/>
      <c r="C821" s="28"/>
    </row>
    <row r="822">
      <c r="A822" s="12"/>
      <c r="B822" s="25"/>
      <c r="C822" s="28"/>
    </row>
    <row r="823">
      <c r="A823" s="12"/>
      <c r="B823" s="25"/>
      <c r="C823" s="28"/>
    </row>
    <row r="824">
      <c r="A824" s="12"/>
      <c r="B824" s="25"/>
      <c r="C824" s="28"/>
    </row>
    <row r="825">
      <c r="A825" s="12"/>
      <c r="B825" s="25"/>
      <c r="C825" s="28"/>
    </row>
    <row r="826">
      <c r="A826" s="12"/>
      <c r="B826" s="25"/>
      <c r="C826" s="28"/>
    </row>
    <row r="827">
      <c r="A827" s="12"/>
      <c r="B827" s="25"/>
      <c r="C827" s="28"/>
    </row>
    <row r="828">
      <c r="A828" s="12"/>
      <c r="B828" s="25"/>
      <c r="C828" s="28"/>
    </row>
    <row r="829">
      <c r="A829" s="12"/>
      <c r="B829" s="25"/>
      <c r="C829" s="28"/>
    </row>
    <row r="830">
      <c r="A830" s="12"/>
      <c r="B830" s="25"/>
      <c r="C830" s="28"/>
    </row>
    <row r="831">
      <c r="A831" s="12"/>
      <c r="B831" s="25"/>
      <c r="C831" s="28"/>
    </row>
    <row r="832">
      <c r="A832" s="12"/>
      <c r="B832" s="25"/>
      <c r="C832" s="28"/>
    </row>
    <row r="833">
      <c r="A833" s="12"/>
      <c r="B833" s="25"/>
      <c r="C833" s="28"/>
    </row>
    <row r="834">
      <c r="A834" s="12"/>
      <c r="B834" s="25"/>
      <c r="C834" s="28"/>
    </row>
    <row r="835">
      <c r="A835" s="12"/>
      <c r="B835" s="25"/>
      <c r="C835" s="28"/>
    </row>
    <row r="836">
      <c r="A836" s="12"/>
      <c r="B836" s="25"/>
      <c r="C836" s="28"/>
    </row>
    <row r="837">
      <c r="A837" s="12"/>
      <c r="B837" s="25"/>
      <c r="C837" s="28"/>
    </row>
    <row r="838">
      <c r="A838" s="12"/>
      <c r="B838" s="25"/>
      <c r="C838" s="28"/>
    </row>
    <row r="839">
      <c r="A839" s="12"/>
      <c r="B839" s="25"/>
      <c r="C839" s="28"/>
    </row>
    <row r="840">
      <c r="A840" s="12"/>
      <c r="B840" s="25"/>
      <c r="C840" s="28"/>
    </row>
    <row r="841">
      <c r="A841" s="12"/>
      <c r="B841" s="25"/>
      <c r="C841" s="28"/>
    </row>
    <row r="842">
      <c r="A842" s="12"/>
      <c r="B842" s="25"/>
      <c r="C842" s="28"/>
    </row>
    <row r="843">
      <c r="A843" s="12"/>
      <c r="B843" s="25"/>
      <c r="C843" s="28"/>
    </row>
    <row r="844">
      <c r="A844" s="12"/>
      <c r="B844" s="25"/>
      <c r="C844" s="28"/>
    </row>
    <row r="845">
      <c r="A845" s="12"/>
      <c r="B845" s="25"/>
      <c r="C845" s="28"/>
    </row>
    <row r="846">
      <c r="A846" s="12"/>
      <c r="B846" s="25"/>
      <c r="C846" s="28"/>
    </row>
    <row r="847">
      <c r="A847" s="12"/>
      <c r="B847" s="25"/>
      <c r="C847" s="28"/>
    </row>
    <row r="848">
      <c r="A848" s="12"/>
      <c r="B848" s="25"/>
      <c r="C848" s="28"/>
    </row>
    <row r="849">
      <c r="A849" s="12"/>
      <c r="B849" s="25"/>
      <c r="C849" s="28"/>
    </row>
    <row r="850">
      <c r="A850" s="12"/>
      <c r="B850" s="25"/>
      <c r="C850" s="28"/>
    </row>
    <row r="851">
      <c r="A851" s="12"/>
      <c r="B851" s="25"/>
      <c r="C851" s="28"/>
    </row>
    <row r="852">
      <c r="A852" s="12"/>
      <c r="B852" s="25"/>
      <c r="C852" s="28"/>
    </row>
    <row r="853">
      <c r="A853" s="12"/>
      <c r="B853" s="25"/>
      <c r="C853" s="28"/>
    </row>
    <row r="854">
      <c r="A854" s="12"/>
      <c r="B854" s="25"/>
      <c r="C854" s="28"/>
    </row>
    <row r="855">
      <c r="A855" s="12"/>
      <c r="B855" s="25"/>
      <c r="C855" s="28"/>
    </row>
    <row r="856">
      <c r="A856" s="12"/>
      <c r="B856" s="25"/>
      <c r="C856" s="28"/>
    </row>
    <row r="857">
      <c r="A857" s="12"/>
      <c r="B857" s="25"/>
      <c r="C857" s="28"/>
    </row>
    <row r="858">
      <c r="A858" s="12"/>
      <c r="B858" s="25"/>
      <c r="C858" s="28"/>
    </row>
    <row r="859">
      <c r="A859" s="12"/>
      <c r="B859" s="25"/>
      <c r="C859" s="28"/>
    </row>
    <row r="860">
      <c r="A860" s="12"/>
      <c r="B860" s="25"/>
      <c r="C860" s="28"/>
    </row>
    <row r="861">
      <c r="A861" s="12"/>
      <c r="B861" s="25"/>
      <c r="C861" s="28"/>
    </row>
    <row r="862">
      <c r="A862" s="12"/>
      <c r="B862" s="25"/>
      <c r="C862" s="28"/>
    </row>
    <row r="863">
      <c r="A863" s="12"/>
      <c r="B863" s="25"/>
      <c r="C863" s="28"/>
    </row>
    <row r="864">
      <c r="A864" s="12"/>
      <c r="B864" s="25"/>
      <c r="C864" s="28"/>
    </row>
    <row r="865">
      <c r="A865" s="12"/>
      <c r="B865" s="25"/>
      <c r="C865" s="28"/>
    </row>
    <row r="866">
      <c r="A866" s="12"/>
      <c r="B866" s="25"/>
      <c r="C866" s="28"/>
    </row>
    <row r="867">
      <c r="A867" s="12"/>
      <c r="B867" s="25"/>
      <c r="C867" s="28"/>
    </row>
    <row r="868">
      <c r="A868" s="12"/>
      <c r="B868" s="25"/>
      <c r="C868" s="28"/>
    </row>
    <row r="869">
      <c r="A869" s="12"/>
      <c r="B869" s="25"/>
      <c r="C869" s="28"/>
    </row>
    <row r="870">
      <c r="A870" s="12"/>
      <c r="B870" s="25"/>
      <c r="C870" s="28"/>
    </row>
    <row r="871">
      <c r="A871" s="12"/>
      <c r="B871" s="25"/>
      <c r="C871" s="28"/>
    </row>
    <row r="872">
      <c r="A872" s="12"/>
      <c r="B872" s="25"/>
      <c r="C872" s="28"/>
    </row>
    <row r="873">
      <c r="A873" s="12"/>
      <c r="B873" s="25"/>
      <c r="C873" s="28"/>
    </row>
    <row r="874">
      <c r="A874" s="12"/>
      <c r="B874" s="25"/>
      <c r="C874" s="28"/>
    </row>
    <row r="875">
      <c r="A875" s="12"/>
      <c r="B875" s="25"/>
      <c r="C875" s="28"/>
    </row>
    <row r="876">
      <c r="A876" s="12"/>
      <c r="B876" s="25"/>
      <c r="C876" s="28"/>
    </row>
    <row r="877">
      <c r="A877" s="12"/>
      <c r="B877" s="25"/>
      <c r="C877" s="28"/>
    </row>
    <row r="878">
      <c r="A878" s="12"/>
      <c r="B878" s="25"/>
      <c r="C878" s="28"/>
    </row>
    <row r="879">
      <c r="A879" s="12"/>
      <c r="B879" s="25"/>
      <c r="C879" s="28"/>
    </row>
    <row r="880">
      <c r="A880" s="12"/>
      <c r="B880" s="25"/>
      <c r="C880" s="28"/>
    </row>
    <row r="881">
      <c r="A881" s="12"/>
      <c r="B881" s="25"/>
      <c r="C881" s="28"/>
    </row>
    <row r="882">
      <c r="A882" s="12"/>
      <c r="B882" s="25"/>
      <c r="C882" s="28"/>
    </row>
    <row r="883">
      <c r="A883" s="12"/>
      <c r="B883" s="25"/>
      <c r="C883" s="28"/>
    </row>
    <row r="884">
      <c r="A884" s="12"/>
      <c r="B884" s="25"/>
      <c r="C884" s="28"/>
    </row>
    <row r="885">
      <c r="A885" s="12"/>
      <c r="B885" s="25"/>
      <c r="C885" s="28"/>
    </row>
    <row r="886">
      <c r="A886" s="12"/>
      <c r="B886" s="25"/>
      <c r="C886" s="28"/>
    </row>
    <row r="887">
      <c r="A887" s="12"/>
      <c r="B887" s="25"/>
      <c r="C887" s="28"/>
    </row>
    <row r="888">
      <c r="A888" s="12"/>
      <c r="B888" s="25"/>
      <c r="C888" s="28"/>
    </row>
    <row r="889">
      <c r="A889" s="12"/>
      <c r="B889" s="25"/>
      <c r="C889" s="28"/>
    </row>
    <row r="890">
      <c r="A890" s="12"/>
      <c r="B890" s="25"/>
      <c r="C890" s="28"/>
    </row>
    <row r="891">
      <c r="A891" s="12"/>
      <c r="B891" s="25"/>
      <c r="C891" s="28"/>
    </row>
    <row r="892">
      <c r="A892" s="12"/>
      <c r="B892" s="25"/>
      <c r="C892" s="28"/>
    </row>
    <row r="893">
      <c r="A893" s="12"/>
      <c r="B893" s="25"/>
      <c r="C893" s="28"/>
    </row>
    <row r="894">
      <c r="A894" s="12"/>
      <c r="B894" s="25"/>
      <c r="C894" s="28"/>
    </row>
    <row r="895">
      <c r="A895" s="12"/>
      <c r="B895" s="25"/>
      <c r="C895" s="28"/>
    </row>
    <row r="896">
      <c r="A896" s="12"/>
      <c r="B896" s="25"/>
      <c r="C896" s="28"/>
    </row>
    <row r="897">
      <c r="A897" s="12"/>
      <c r="B897" s="25"/>
      <c r="C897" s="28"/>
    </row>
    <row r="898">
      <c r="A898" s="12"/>
      <c r="B898" s="25"/>
      <c r="C898" s="28"/>
    </row>
    <row r="899">
      <c r="A899" s="12"/>
      <c r="B899" s="25"/>
      <c r="C899" s="28"/>
    </row>
    <row r="900">
      <c r="A900" s="12"/>
      <c r="B900" s="25"/>
      <c r="C900" s="28"/>
    </row>
    <row r="901">
      <c r="A901" s="12"/>
      <c r="B901" s="25"/>
      <c r="C901" s="28"/>
    </row>
    <row r="902">
      <c r="A902" s="12"/>
      <c r="B902" s="25"/>
      <c r="C902" s="28"/>
    </row>
    <row r="903">
      <c r="A903" s="12"/>
      <c r="B903" s="25"/>
      <c r="C903" s="28"/>
    </row>
    <row r="904">
      <c r="A904" s="12"/>
      <c r="B904" s="25"/>
      <c r="C904" s="28"/>
    </row>
    <row r="905">
      <c r="A905" s="12"/>
      <c r="B905" s="25"/>
      <c r="C905" s="28"/>
    </row>
    <row r="906">
      <c r="A906" s="12"/>
      <c r="B906" s="25"/>
      <c r="C906" s="28"/>
    </row>
    <row r="907">
      <c r="A907" s="12"/>
      <c r="B907" s="25"/>
      <c r="C907" s="28"/>
    </row>
    <row r="908">
      <c r="A908" s="12"/>
      <c r="B908" s="25"/>
      <c r="C908" s="28"/>
    </row>
    <row r="909">
      <c r="A909" s="12"/>
      <c r="B909" s="25"/>
      <c r="C909" s="28"/>
    </row>
    <row r="910">
      <c r="A910" s="12"/>
      <c r="B910" s="25"/>
      <c r="C910" s="28"/>
    </row>
    <row r="911">
      <c r="A911" s="12"/>
      <c r="B911" s="25"/>
      <c r="C911" s="28"/>
    </row>
    <row r="912">
      <c r="A912" s="12"/>
      <c r="B912" s="25"/>
      <c r="C912" s="28"/>
    </row>
    <row r="913">
      <c r="A913" s="12"/>
      <c r="B913" s="25"/>
      <c r="C913" s="28"/>
    </row>
    <row r="914">
      <c r="A914" s="12"/>
      <c r="B914" s="25"/>
      <c r="C914" s="28"/>
    </row>
    <row r="915">
      <c r="A915" s="12"/>
      <c r="B915" s="25"/>
      <c r="C915" s="28"/>
    </row>
    <row r="916">
      <c r="A916" s="12"/>
      <c r="B916" s="25"/>
      <c r="C916" s="28"/>
    </row>
    <row r="917">
      <c r="A917" s="12"/>
      <c r="B917" s="25"/>
      <c r="C917" s="28"/>
    </row>
    <row r="918">
      <c r="A918" s="12"/>
      <c r="B918" s="25"/>
      <c r="C918" s="28"/>
    </row>
    <row r="919">
      <c r="A919" s="12"/>
      <c r="B919" s="25"/>
      <c r="C919" s="28"/>
    </row>
    <row r="920">
      <c r="A920" s="12"/>
      <c r="B920" s="25"/>
      <c r="C920" s="28"/>
    </row>
    <row r="921">
      <c r="A921" s="12"/>
      <c r="B921" s="25"/>
      <c r="C921" s="28"/>
    </row>
    <row r="922">
      <c r="A922" s="12"/>
      <c r="B922" s="25"/>
      <c r="C922" s="28"/>
    </row>
    <row r="923">
      <c r="A923" s="12"/>
      <c r="B923" s="25"/>
      <c r="C923" s="28"/>
    </row>
    <row r="924">
      <c r="A924" s="12"/>
      <c r="B924" s="25"/>
      <c r="C924" s="28"/>
    </row>
    <row r="925">
      <c r="A925" s="12"/>
      <c r="B925" s="25"/>
      <c r="C925" s="28"/>
    </row>
    <row r="926">
      <c r="A926" s="12"/>
      <c r="B926" s="25"/>
      <c r="C926" s="28"/>
    </row>
    <row r="927">
      <c r="A927" s="12"/>
      <c r="B927" s="25"/>
      <c r="C927" s="28"/>
    </row>
    <row r="928">
      <c r="A928" s="12"/>
      <c r="B928" s="25"/>
      <c r="C928" s="28"/>
    </row>
    <row r="929">
      <c r="A929" s="12"/>
      <c r="B929" s="25"/>
      <c r="C929" s="28"/>
    </row>
    <row r="930">
      <c r="A930" s="12"/>
      <c r="B930" s="25"/>
      <c r="C930" s="28"/>
    </row>
    <row r="931">
      <c r="A931" s="12"/>
      <c r="B931" s="25"/>
      <c r="C931" s="28"/>
    </row>
    <row r="932">
      <c r="A932" s="12"/>
      <c r="B932" s="25"/>
      <c r="C932" s="28"/>
    </row>
    <row r="933">
      <c r="A933" s="12"/>
      <c r="B933" s="25"/>
      <c r="C933" s="28"/>
    </row>
    <row r="934">
      <c r="A934" s="12"/>
      <c r="B934" s="25"/>
      <c r="C934" s="28"/>
    </row>
    <row r="935">
      <c r="A935" s="12"/>
      <c r="B935" s="25"/>
      <c r="C935" s="28"/>
    </row>
    <row r="936">
      <c r="A936" s="12"/>
      <c r="B936" s="25"/>
      <c r="C936" s="28"/>
    </row>
    <row r="937">
      <c r="A937" s="12"/>
      <c r="B937" s="25"/>
      <c r="C937" s="28"/>
    </row>
    <row r="938">
      <c r="A938" s="12"/>
      <c r="B938" s="25"/>
      <c r="C938" s="28"/>
    </row>
    <row r="939">
      <c r="A939" s="12"/>
      <c r="B939" s="25"/>
      <c r="C939" s="28"/>
    </row>
    <row r="940">
      <c r="A940" s="12"/>
      <c r="B940" s="25"/>
      <c r="C940" s="28"/>
    </row>
    <row r="941">
      <c r="A941" s="12"/>
      <c r="B941" s="25"/>
      <c r="C941" s="28"/>
    </row>
    <row r="942">
      <c r="A942" s="12"/>
      <c r="B942" s="25"/>
      <c r="C942" s="28"/>
    </row>
    <row r="943">
      <c r="A943" s="12"/>
      <c r="B943" s="25"/>
      <c r="C943" s="28"/>
    </row>
    <row r="944">
      <c r="A944" s="12"/>
      <c r="B944" s="25"/>
      <c r="C944" s="28"/>
    </row>
    <row r="945">
      <c r="A945" s="12"/>
      <c r="B945" s="25"/>
      <c r="C945" s="28"/>
    </row>
    <row r="946">
      <c r="A946" s="12"/>
      <c r="B946" s="25"/>
      <c r="C946" s="28"/>
    </row>
    <row r="947">
      <c r="A947" s="12"/>
      <c r="B947" s="25"/>
      <c r="C947" s="28"/>
    </row>
    <row r="948">
      <c r="A948" s="12"/>
      <c r="B948" s="25"/>
      <c r="C948" s="28"/>
    </row>
    <row r="949">
      <c r="A949" s="12"/>
      <c r="B949" s="25"/>
      <c r="C949" s="28"/>
    </row>
    <row r="950">
      <c r="A950" s="12"/>
      <c r="B950" s="25"/>
      <c r="C950" s="28"/>
    </row>
    <row r="951">
      <c r="A951" s="12"/>
      <c r="B951" s="25"/>
      <c r="C951" s="28"/>
    </row>
    <row r="952">
      <c r="A952" s="12"/>
      <c r="B952" s="25"/>
      <c r="C952" s="28"/>
    </row>
    <row r="953">
      <c r="A953" s="12"/>
      <c r="B953" s="25"/>
      <c r="C953" s="28"/>
    </row>
    <row r="954">
      <c r="A954" s="12"/>
      <c r="B954" s="25"/>
      <c r="C954" s="28"/>
    </row>
    <row r="955">
      <c r="A955" s="12"/>
      <c r="B955" s="25"/>
      <c r="C955" s="28"/>
    </row>
    <row r="956">
      <c r="A956" s="12"/>
      <c r="B956" s="25"/>
      <c r="C956" s="28"/>
    </row>
    <row r="957">
      <c r="A957" s="12"/>
      <c r="B957" s="25"/>
      <c r="C957" s="28"/>
    </row>
    <row r="958">
      <c r="A958" s="12"/>
      <c r="B958" s="25"/>
      <c r="C958" s="28"/>
    </row>
    <row r="959">
      <c r="A959" s="12"/>
      <c r="B959" s="25"/>
      <c r="C959" s="28"/>
    </row>
    <row r="960">
      <c r="A960" s="12"/>
      <c r="B960" s="25"/>
      <c r="C960" s="28"/>
    </row>
    <row r="961">
      <c r="A961" s="12"/>
      <c r="B961" s="25"/>
      <c r="C961" s="28"/>
    </row>
    <row r="962">
      <c r="A962" s="12"/>
      <c r="B962" s="25"/>
      <c r="C962" s="28"/>
    </row>
    <row r="963">
      <c r="A963" s="12"/>
      <c r="B963" s="25"/>
      <c r="C963" s="28"/>
    </row>
    <row r="964">
      <c r="A964" s="12"/>
      <c r="B964" s="25"/>
      <c r="C964" s="28"/>
    </row>
    <row r="965">
      <c r="A965" s="12"/>
      <c r="B965" s="25"/>
      <c r="C965" s="28"/>
    </row>
    <row r="966">
      <c r="A966" s="12"/>
      <c r="B966" s="25"/>
      <c r="C966" s="28"/>
    </row>
    <row r="967">
      <c r="A967" s="12"/>
      <c r="B967" s="25"/>
      <c r="C967" s="28"/>
    </row>
    <row r="968">
      <c r="A968" s="12"/>
      <c r="B968" s="25"/>
      <c r="C968" s="28"/>
    </row>
    <row r="969">
      <c r="A969" s="12"/>
      <c r="B969" s="25"/>
      <c r="C969" s="28"/>
    </row>
    <row r="970">
      <c r="A970" s="12"/>
      <c r="B970" s="25"/>
      <c r="C970" s="28"/>
    </row>
    <row r="971">
      <c r="A971" s="12"/>
      <c r="B971" s="25"/>
      <c r="C971" s="28"/>
    </row>
    <row r="972">
      <c r="A972" s="12"/>
      <c r="B972" s="25"/>
      <c r="C972" s="28"/>
    </row>
    <row r="973">
      <c r="A973" s="12"/>
      <c r="B973" s="25"/>
      <c r="C973" s="28"/>
    </row>
    <row r="974">
      <c r="A974" s="12"/>
      <c r="B974" s="25"/>
      <c r="C974" s="28"/>
    </row>
    <row r="975">
      <c r="A975" s="12"/>
      <c r="B975" s="25"/>
      <c r="C975" s="28"/>
    </row>
    <row r="976">
      <c r="A976" s="12"/>
      <c r="B976" s="25"/>
      <c r="C976" s="28"/>
    </row>
    <row r="977">
      <c r="A977" s="12"/>
      <c r="B977" s="25"/>
      <c r="C977" s="28"/>
    </row>
    <row r="978">
      <c r="A978" s="12"/>
      <c r="B978" s="25"/>
      <c r="C978" s="28"/>
    </row>
    <row r="979">
      <c r="A979" s="12"/>
      <c r="B979" s="25"/>
      <c r="C979" s="28"/>
    </row>
    <row r="980">
      <c r="A980" s="12"/>
      <c r="B980" s="25"/>
      <c r="C980" s="28"/>
    </row>
    <row r="981">
      <c r="A981" s="12"/>
      <c r="B981" s="25"/>
      <c r="C981" s="28"/>
    </row>
    <row r="982">
      <c r="A982" s="12"/>
      <c r="B982" s="25"/>
      <c r="C982" s="28"/>
    </row>
    <row r="983">
      <c r="A983" s="12"/>
      <c r="B983" s="25"/>
      <c r="C983" s="28"/>
    </row>
    <row r="984">
      <c r="A984" s="12"/>
      <c r="B984" s="25"/>
      <c r="C984" s="28"/>
    </row>
    <row r="985">
      <c r="A985" s="12"/>
      <c r="B985" s="25"/>
      <c r="C985" s="28"/>
    </row>
    <row r="986">
      <c r="A986" s="12"/>
      <c r="B986" s="25"/>
      <c r="C986" s="28"/>
    </row>
    <row r="987">
      <c r="A987" s="12"/>
      <c r="B987" s="25"/>
      <c r="C987" s="28"/>
    </row>
    <row r="988">
      <c r="A988" s="12"/>
      <c r="B988" s="25"/>
      <c r="C988" s="28"/>
    </row>
    <row r="989">
      <c r="A989" s="12"/>
      <c r="B989" s="25"/>
      <c r="C989" s="28"/>
    </row>
    <row r="990">
      <c r="A990" s="12"/>
      <c r="B990" s="25"/>
      <c r="C990" s="28"/>
    </row>
    <row r="991">
      <c r="A991" s="12"/>
      <c r="B991" s="25"/>
      <c r="C991" s="28"/>
    </row>
    <row r="992">
      <c r="A992" s="12"/>
      <c r="B992" s="25"/>
      <c r="C992" s="28"/>
    </row>
    <row r="993">
      <c r="A993" s="12"/>
      <c r="B993" s="25"/>
      <c r="C993" s="28"/>
    </row>
    <row r="994">
      <c r="A994" s="12"/>
      <c r="B994" s="25"/>
      <c r="C994" s="28"/>
    </row>
    <row r="995">
      <c r="A995" s="12"/>
      <c r="B995" s="25"/>
      <c r="C995" s="28"/>
    </row>
    <row r="996">
      <c r="B996" s="25"/>
      <c r="C996" s="28"/>
    </row>
    <row r="997">
      <c r="B997" s="25"/>
      <c r="C997" s="28"/>
    </row>
    <row r="998">
      <c r="B998" s="25"/>
      <c r="C998" s="28"/>
    </row>
    <row r="999">
      <c r="B999" s="25"/>
      <c r="C999" s="28"/>
    </row>
  </sheetData>
  <mergeCells count="3">
    <mergeCell ref="E1:F1"/>
    <mergeCell ref="E3:F3"/>
    <mergeCell ref="E10:G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15" max="15" width="18.25"/>
  </cols>
  <sheetData>
    <row r="1">
      <c r="A1" s="29" t="s">
        <v>0</v>
      </c>
      <c r="B1" s="30" t="s">
        <v>66</v>
      </c>
      <c r="D1" s="46" t="s">
        <v>121</v>
      </c>
      <c r="L1" s="29" t="s">
        <v>0</v>
      </c>
      <c r="M1" s="30" t="s">
        <v>67</v>
      </c>
      <c r="O1" s="59" t="s">
        <v>121</v>
      </c>
    </row>
    <row r="2">
      <c r="A2" s="6" t="s">
        <v>9</v>
      </c>
      <c r="B2" s="25">
        <v>0.007552607388636279</v>
      </c>
      <c r="D2" s="46" t="s">
        <v>122</v>
      </c>
      <c r="L2" s="6" t="s">
        <v>9</v>
      </c>
      <c r="M2" s="25">
        <v>-0.08321191516917603</v>
      </c>
      <c r="O2" s="59" t="s">
        <v>122</v>
      </c>
    </row>
    <row r="3">
      <c r="A3" s="6" t="s">
        <v>10</v>
      </c>
      <c r="B3" s="25">
        <v>-0.022606964207663505</v>
      </c>
      <c r="D3" s="60" t="s">
        <v>123</v>
      </c>
      <c r="E3" s="60">
        <f>COUNTA(B2:B53)</f>
        <v>52</v>
      </c>
      <c r="F3" s="59" t="s">
        <v>124</v>
      </c>
      <c r="L3" s="6" t="s">
        <v>10</v>
      </c>
      <c r="M3" s="25">
        <v>-0.0492535016161304</v>
      </c>
      <c r="O3" s="60" t="s">
        <v>123</v>
      </c>
      <c r="P3" s="61">
        <f>COUNTA(M2:M53)</f>
        <v>52</v>
      </c>
      <c r="Q3" s="59" t="s">
        <v>124</v>
      </c>
    </row>
    <row r="4">
      <c r="A4" s="6" t="s">
        <v>11</v>
      </c>
      <c r="B4" s="25">
        <v>-0.013463012648524342</v>
      </c>
      <c r="D4" s="60" t="s">
        <v>125</v>
      </c>
      <c r="E4" s="60">
        <f>STDEV(B1:B53)</f>
        <v>0.0623892536</v>
      </c>
      <c r="F4" s="59" t="s">
        <v>126</v>
      </c>
      <c r="L4" s="6" t="s">
        <v>11</v>
      </c>
      <c r="M4" s="25">
        <v>0.03603890926487008</v>
      </c>
      <c r="O4" s="60" t="s">
        <v>125</v>
      </c>
      <c r="P4" s="62">
        <f>STDEV(M1:M53)</f>
        <v>0.05535230551</v>
      </c>
      <c r="Q4" s="59" t="s">
        <v>126</v>
      </c>
    </row>
    <row r="5">
      <c r="A5" s="6" t="s">
        <v>12</v>
      </c>
      <c r="B5" s="25">
        <v>0.015397338911726788</v>
      </c>
      <c r="D5" s="60" t="s">
        <v>127</v>
      </c>
      <c r="E5" s="60">
        <f>0.3/sqrt(53)</f>
        <v>0.04120816918</v>
      </c>
      <c r="F5" s="59" t="s">
        <v>128</v>
      </c>
      <c r="L5" s="6" t="s">
        <v>12</v>
      </c>
      <c r="M5" s="25">
        <v>-0.012440944881889737</v>
      </c>
      <c r="O5" s="60" t="s">
        <v>127</v>
      </c>
      <c r="P5" s="62">
        <f>0.3/sqrt(53)</f>
        <v>0.04120816918</v>
      </c>
      <c r="Q5" s="59" t="s">
        <v>128</v>
      </c>
    </row>
    <row r="6">
      <c r="A6" s="6" t="s">
        <v>13</v>
      </c>
      <c r="B6" s="25">
        <v>-0.04484096559094819</v>
      </c>
      <c r="D6" s="60" t="s">
        <v>129</v>
      </c>
      <c r="E6" s="60">
        <v>0.05</v>
      </c>
      <c r="F6" s="59" t="s">
        <v>130</v>
      </c>
      <c r="L6" s="6" t="s">
        <v>13</v>
      </c>
      <c r="M6" s="25">
        <v>0.03420195439739415</v>
      </c>
      <c r="O6" s="60" t="s">
        <v>129</v>
      </c>
      <c r="P6" s="63">
        <v>0.05</v>
      </c>
      <c r="Q6" s="59" t="s">
        <v>130</v>
      </c>
    </row>
    <row r="7">
      <c r="A7" s="6" t="s">
        <v>14</v>
      </c>
      <c r="B7" s="25">
        <v>-0.0415311985035407</v>
      </c>
      <c r="D7" s="60" t="s">
        <v>131</v>
      </c>
      <c r="E7" s="64">
        <v>51.0</v>
      </c>
      <c r="F7" s="59" t="s">
        <v>132</v>
      </c>
      <c r="L7" s="6" t="s">
        <v>14</v>
      </c>
      <c r="M7" s="25">
        <v>-0.04968271165454263</v>
      </c>
      <c r="O7" s="60" t="s">
        <v>131</v>
      </c>
      <c r="P7" s="65">
        <v>51.0</v>
      </c>
      <c r="Q7" s="59" t="s">
        <v>132</v>
      </c>
    </row>
    <row r="8">
      <c r="A8" s="6" t="s">
        <v>15</v>
      </c>
      <c r="B8" s="25">
        <v>0.02642285714285708</v>
      </c>
      <c r="D8" s="60" t="s">
        <v>133</v>
      </c>
      <c r="E8" s="66">
        <f t="shared" ref="E8:E9" si="1">E4^2</f>
        <v>0.003892418964</v>
      </c>
      <c r="F8" s="59" t="s">
        <v>134</v>
      </c>
      <c r="L8" s="6" t="s">
        <v>15</v>
      </c>
      <c r="M8" s="25">
        <v>0.010162601626016343</v>
      </c>
      <c r="O8" s="60" t="s">
        <v>133</v>
      </c>
      <c r="P8" s="62">
        <f t="shared" ref="P8:P9" si="2">P4^2</f>
        <v>0.003063877726</v>
      </c>
      <c r="Q8" s="59" t="s">
        <v>134</v>
      </c>
    </row>
    <row r="9">
      <c r="A9" s="6" t="s">
        <v>16</v>
      </c>
      <c r="B9" s="25">
        <v>-0.01687602525785936</v>
      </c>
      <c r="D9" s="60" t="s">
        <v>135</v>
      </c>
      <c r="E9" s="66">
        <f t="shared" si="1"/>
        <v>0.001698113208</v>
      </c>
      <c r="F9" s="59" t="s">
        <v>136</v>
      </c>
      <c r="L9" s="6" t="s">
        <v>16</v>
      </c>
      <c r="M9" s="25">
        <v>-0.0233623453962436</v>
      </c>
      <c r="O9" s="60" t="s">
        <v>135</v>
      </c>
      <c r="P9" s="62">
        <f t="shared" si="2"/>
        <v>0.001698113208</v>
      </c>
      <c r="Q9" s="59" t="s">
        <v>136</v>
      </c>
    </row>
    <row r="10">
      <c r="A10" s="6" t="s">
        <v>17</v>
      </c>
      <c r="B10" s="25">
        <v>0.01584221699728361</v>
      </c>
      <c r="D10" s="60" t="s">
        <v>137</v>
      </c>
      <c r="E10" s="60">
        <f>E7*E8/E9</f>
        <v>116.9023162</v>
      </c>
      <c r="F10" s="59" t="s">
        <v>138</v>
      </c>
      <c r="L10" s="6" t="s">
        <v>17</v>
      </c>
      <c r="M10" s="25">
        <v>0.041839007317849175</v>
      </c>
      <c r="O10" s="60" t="s">
        <v>137</v>
      </c>
      <c r="P10" s="62">
        <f>P7*P8/P9</f>
        <v>92.01846102</v>
      </c>
      <c r="Q10" s="59" t="s">
        <v>138</v>
      </c>
    </row>
    <row r="11">
      <c r="A11" s="6" t="s">
        <v>18</v>
      </c>
      <c r="B11" s="25">
        <v>-0.0781161219722637</v>
      </c>
      <c r="D11" s="60" t="s">
        <v>139</v>
      </c>
      <c r="E11" s="67">
        <f>2*_xlfn.CHISQ.DIST.RT(E10, E7)</f>
        <v>0.0000008720123992</v>
      </c>
      <c r="L11" s="6" t="s">
        <v>18</v>
      </c>
      <c r="M11" s="25">
        <v>0.038493309102924034</v>
      </c>
      <c r="O11" s="60" t="s">
        <v>139</v>
      </c>
      <c r="P11" s="62">
        <f>2*_xlfn.CHISQ.DIST.RT(P10, P7)</f>
        <v>0.0007597931578</v>
      </c>
    </row>
    <row r="12">
      <c r="A12" s="6" t="s">
        <v>19</v>
      </c>
      <c r="B12" s="25">
        <v>-0.012489609310058158</v>
      </c>
      <c r="L12" s="6" t="s">
        <v>19</v>
      </c>
      <c r="M12" s="25">
        <v>0.0378943758573389</v>
      </c>
    </row>
    <row r="13">
      <c r="A13" s="6" t="s">
        <v>20</v>
      </c>
      <c r="B13" s="25">
        <v>0.04845738190692006</v>
      </c>
      <c r="D13" s="46" t="s">
        <v>140</v>
      </c>
      <c r="E13" s="59" t="s">
        <v>141</v>
      </c>
      <c r="L13" s="6" t="s">
        <v>20</v>
      </c>
      <c r="M13" s="25">
        <v>-0.1299418170968223</v>
      </c>
      <c r="O13" s="46" t="s">
        <v>142</v>
      </c>
      <c r="P13" s="59" t="s">
        <v>141</v>
      </c>
    </row>
    <row r="14">
      <c r="A14" s="6" t="s">
        <v>21</v>
      </c>
      <c r="B14" s="25">
        <v>0.008703296703296726</v>
      </c>
      <c r="D14" s="46" t="s">
        <v>143</v>
      </c>
      <c r="L14" s="6" t="s">
        <v>21</v>
      </c>
      <c r="M14" s="25">
        <v>0.03107214274726955</v>
      </c>
    </row>
    <row r="15">
      <c r="A15" s="6" t="s">
        <v>22</v>
      </c>
      <c r="B15" s="25">
        <v>0.0577213659715925</v>
      </c>
      <c r="D15" s="68" t="s">
        <v>144</v>
      </c>
      <c r="E15" s="69"/>
      <c r="F15" s="69"/>
      <c r="G15" s="69"/>
      <c r="H15" s="69"/>
      <c r="I15" s="69"/>
      <c r="J15" s="69"/>
      <c r="L15" s="6" t="s">
        <v>22</v>
      </c>
      <c r="M15" s="25">
        <v>0.018965517241379404</v>
      </c>
    </row>
    <row r="16">
      <c r="A16" s="6" t="s">
        <v>23</v>
      </c>
      <c r="B16" s="25">
        <v>0.09992584827021922</v>
      </c>
      <c r="L16" s="6" t="s">
        <v>23</v>
      </c>
      <c r="M16" s="25">
        <v>0.02919825778351348</v>
      </c>
    </row>
    <row r="17">
      <c r="A17" s="6" t="s">
        <v>24</v>
      </c>
      <c r="B17" s="25">
        <v>-0.032793372078644856</v>
      </c>
      <c r="L17" s="6" t="s">
        <v>24</v>
      </c>
      <c r="M17" s="25">
        <v>-0.02131354594253243</v>
      </c>
    </row>
    <row r="18">
      <c r="A18" s="6" t="s">
        <v>25</v>
      </c>
      <c r="B18" s="25">
        <v>-0.058600298007077556</v>
      </c>
      <c r="L18" s="6" t="s">
        <v>25</v>
      </c>
      <c r="M18" s="25">
        <v>0.050414593698175914</v>
      </c>
    </row>
    <row r="19">
      <c r="A19" s="6" t="s">
        <v>26</v>
      </c>
      <c r="B19" s="25">
        <v>-0.059225512528473856</v>
      </c>
      <c r="L19" s="6" t="s">
        <v>26</v>
      </c>
      <c r="M19" s="25">
        <v>-0.05426599749058969</v>
      </c>
    </row>
    <row r="20">
      <c r="A20" s="6" t="s">
        <v>27</v>
      </c>
      <c r="B20" s="25">
        <v>0.052660702757539424</v>
      </c>
      <c r="L20" s="6" t="s">
        <v>27</v>
      </c>
      <c r="M20" s="25">
        <v>-0.06537672236880676</v>
      </c>
    </row>
    <row r="21">
      <c r="A21" s="6" t="s">
        <v>28</v>
      </c>
      <c r="B21" s="25">
        <v>-0.012724499783751786</v>
      </c>
      <c r="L21" s="6" t="s">
        <v>28</v>
      </c>
      <c r="M21" s="25">
        <v>0.025864661654135368</v>
      </c>
    </row>
    <row r="22">
      <c r="A22" s="6" t="s">
        <v>29</v>
      </c>
      <c r="B22" s="25">
        <v>0.06244407361725801</v>
      </c>
      <c r="L22" s="6" t="s">
        <v>29</v>
      </c>
      <c r="M22" s="25">
        <v>0.032929481205343336</v>
      </c>
    </row>
    <row r="23">
      <c r="A23" s="6" t="s">
        <v>30</v>
      </c>
      <c r="B23" s="25">
        <v>-0.0380150291975897</v>
      </c>
      <c r="L23" s="6" t="s">
        <v>30</v>
      </c>
      <c r="M23" s="25">
        <v>-0.09323943661971834</v>
      </c>
    </row>
    <row r="24">
      <c r="A24" s="6" t="s">
        <v>31</v>
      </c>
      <c r="B24" s="25">
        <v>-0.024000908265213394</v>
      </c>
      <c r="L24" s="6" t="s">
        <v>31</v>
      </c>
      <c r="M24" s="25">
        <v>0.037708272434960444</v>
      </c>
    </row>
    <row r="25">
      <c r="A25" s="6" t="s">
        <v>32</v>
      </c>
      <c r="B25" s="25">
        <v>0.03363297110803387</v>
      </c>
      <c r="L25" s="6" t="s">
        <v>32</v>
      </c>
      <c r="M25" s="25">
        <v>-0.022292083452414957</v>
      </c>
    </row>
    <row r="26">
      <c r="A26" s="6" t="s">
        <v>33</v>
      </c>
      <c r="B26" s="25">
        <v>0.07609738849320613</v>
      </c>
      <c r="L26" s="6" t="s">
        <v>33</v>
      </c>
      <c r="M26" s="25">
        <v>-0.02886483485983904</v>
      </c>
    </row>
    <row r="27">
      <c r="A27" s="6" t="s">
        <v>34</v>
      </c>
      <c r="B27" s="25">
        <v>0.12854862615437246</v>
      </c>
      <c r="L27" s="6" t="s">
        <v>34</v>
      </c>
      <c r="M27" s="25">
        <v>-0.007164508128961078</v>
      </c>
    </row>
    <row r="28">
      <c r="A28" s="6" t="s">
        <v>35</v>
      </c>
      <c r="B28" s="25">
        <v>0.050828166651690765</v>
      </c>
      <c r="L28" s="6" t="s">
        <v>35</v>
      </c>
      <c r="M28" s="25">
        <v>-0.044748618057383616</v>
      </c>
    </row>
    <row r="29">
      <c r="A29" s="6" t="s">
        <v>36</v>
      </c>
      <c r="B29" s="25">
        <v>-0.01805829240316459</v>
      </c>
      <c r="L29" s="6" t="s">
        <v>36</v>
      </c>
      <c r="M29" s="25">
        <v>-0.012862154086007438</v>
      </c>
    </row>
    <row r="30">
      <c r="A30" s="6" t="s">
        <v>37</v>
      </c>
      <c r="B30" s="25">
        <v>0.028587850919651547</v>
      </c>
      <c r="L30" s="6" t="s">
        <v>37</v>
      </c>
      <c r="M30" s="25">
        <v>0.01839110875893102</v>
      </c>
    </row>
    <row r="31">
      <c r="A31" s="6" t="s">
        <v>38</v>
      </c>
      <c r="B31" s="25">
        <v>0.0027605035643865072</v>
      </c>
      <c r="L31" s="6" t="s">
        <v>38</v>
      </c>
      <c r="M31" s="25">
        <v>0.037474262182567</v>
      </c>
    </row>
    <row r="32">
      <c r="A32" s="6" t="s">
        <v>39</v>
      </c>
      <c r="B32" s="25">
        <v>0.08928394409014295</v>
      </c>
      <c r="L32" s="6" t="s">
        <v>39</v>
      </c>
      <c r="M32" s="25">
        <v>-0.005867903930131146</v>
      </c>
    </row>
    <row r="33">
      <c r="A33" s="6" t="s">
        <v>40</v>
      </c>
      <c r="B33" s="25">
        <v>-0.04249193191166234</v>
      </c>
      <c r="L33" s="6" t="s">
        <v>40</v>
      </c>
      <c r="M33" s="25">
        <v>-0.021628838451268395</v>
      </c>
    </row>
    <row r="34">
      <c r="A34" s="6" t="s">
        <v>41</v>
      </c>
      <c r="B34" s="25">
        <v>-0.04122554224177155</v>
      </c>
      <c r="L34" s="6" t="s">
        <v>41</v>
      </c>
      <c r="M34" s="25">
        <v>0.052409723197976765</v>
      </c>
    </row>
    <row r="35">
      <c r="A35" s="6" t="s">
        <v>42</v>
      </c>
      <c r="B35" s="25">
        <v>0.05148161143185215</v>
      </c>
      <c r="L35" s="6" t="s">
        <v>42</v>
      </c>
      <c r="M35" s="25">
        <v>-0.0021031968592258865</v>
      </c>
    </row>
    <row r="36">
      <c r="A36" s="6" t="s">
        <v>43</v>
      </c>
      <c r="B36" s="25">
        <v>-0.005834786744886689</v>
      </c>
      <c r="L36" s="6" t="s">
        <v>43</v>
      </c>
      <c r="M36" s="25">
        <v>-0.049320181284990716</v>
      </c>
    </row>
    <row r="37">
      <c r="A37" s="6" t="s">
        <v>44</v>
      </c>
      <c r="B37" s="25">
        <v>-0.02558477273429527</v>
      </c>
      <c r="L37" s="6" t="s">
        <v>44</v>
      </c>
      <c r="M37" s="25">
        <v>0.060503251342945985</v>
      </c>
    </row>
    <row r="38">
      <c r="A38" s="6" t="s">
        <v>45</v>
      </c>
      <c r="B38" s="25">
        <v>0.00456295008691332</v>
      </c>
      <c r="L38" s="6" t="s">
        <v>45</v>
      </c>
      <c r="M38" s="25">
        <v>0.20490546755237604</v>
      </c>
    </row>
    <row r="39">
      <c r="A39" s="6" t="s">
        <v>46</v>
      </c>
      <c r="B39" s="25">
        <v>-0.009683071531769616</v>
      </c>
      <c r="L39" s="6" t="s">
        <v>46</v>
      </c>
      <c r="M39" s="25">
        <v>-0.01228129205921935</v>
      </c>
    </row>
    <row r="40">
      <c r="A40" s="6" t="s">
        <v>47</v>
      </c>
      <c r="B40" s="25">
        <v>0.10222267398522744</v>
      </c>
      <c r="L40" s="6" t="s">
        <v>47</v>
      </c>
      <c r="M40" s="25">
        <v>-0.029709435194253953</v>
      </c>
    </row>
    <row r="41">
      <c r="A41" s="6" t="s">
        <v>48</v>
      </c>
      <c r="B41" s="25">
        <v>-0.148126767880852</v>
      </c>
      <c r="L41" s="6" t="s">
        <v>48</v>
      </c>
      <c r="M41" s="25">
        <v>0.036372864151581696</v>
      </c>
    </row>
    <row r="42">
      <c r="A42" s="6" t="s">
        <v>49</v>
      </c>
      <c r="B42" s="25">
        <v>0.02098190605292638</v>
      </c>
      <c r="L42" s="6" t="s">
        <v>49</v>
      </c>
      <c r="M42" s="25">
        <v>0.009564474807856493</v>
      </c>
    </row>
    <row r="43">
      <c r="A43" s="6" t="s">
        <v>50</v>
      </c>
      <c r="B43" s="25">
        <v>-0.030401737242128246</v>
      </c>
      <c r="L43" s="6" t="s">
        <v>50</v>
      </c>
      <c r="M43" s="25">
        <v>-0.048895386614684955</v>
      </c>
    </row>
    <row r="44">
      <c r="A44" s="6" t="s">
        <v>51</v>
      </c>
      <c r="B44" s="25">
        <v>0.17340575336954345</v>
      </c>
      <c r="L44" s="6" t="s">
        <v>51</v>
      </c>
      <c r="M44" s="25">
        <v>0.08246878846492</v>
      </c>
    </row>
    <row r="45">
      <c r="A45" s="6" t="s">
        <v>52</v>
      </c>
      <c r="B45" s="25">
        <v>0.03847359075241119</v>
      </c>
      <c r="L45" s="6" t="s">
        <v>52</v>
      </c>
      <c r="M45" s="25">
        <v>-0.005073477956612948</v>
      </c>
    </row>
    <row r="46">
      <c r="A46" s="6" t="s">
        <v>53</v>
      </c>
      <c r="B46" s="25">
        <v>0.00793121600280755</v>
      </c>
      <c r="L46" s="6" t="s">
        <v>53</v>
      </c>
      <c r="M46" s="25">
        <v>0.01690090731186622</v>
      </c>
    </row>
    <row r="47">
      <c r="A47" s="6" t="s">
        <v>54</v>
      </c>
      <c r="B47" s="25">
        <v>0.18055267846045475</v>
      </c>
      <c r="L47" s="6" t="s">
        <v>54</v>
      </c>
      <c r="M47" s="25">
        <v>0.03346203346203347</v>
      </c>
    </row>
    <row r="48">
      <c r="A48" s="6" t="s">
        <v>55</v>
      </c>
      <c r="B48" s="25">
        <v>-0.04335935951805314</v>
      </c>
      <c r="L48" s="6" t="s">
        <v>55</v>
      </c>
      <c r="M48" s="25">
        <v>0.02506596306068598</v>
      </c>
    </row>
    <row r="49">
      <c r="A49" s="6" t="s">
        <v>56</v>
      </c>
      <c r="B49" s="25">
        <v>0.053794428434197794</v>
      </c>
      <c r="L49" s="6" t="s">
        <v>56</v>
      </c>
      <c r="M49" s="25">
        <v>-0.04995523724261408</v>
      </c>
    </row>
    <row r="50">
      <c r="A50" s="6" t="s">
        <v>57</v>
      </c>
      <c r="B50" s="25">
        <v>-0.09151963574274335</v>
      </c>
      <c r="L50" s="6" t="s">
        <v>57</v>
      </c>
      <c r="M50" s="25">
        <v>-0.09540006478781993</v>
      </c>
    </row>
    <row r="51">
      <c r="A51" s="6" t="s">
        <v>58</v>
      </c>
      <c r="B51" s="25">
        <v>0.05966788629327335</v>
      </c>
      <c r="L51" s="6" t="s">
        <v>58</v>
      </c>
      <c r="M51" s="25">
        <v>-0.0684972842486421</v>
      </c>
    </row>
    <row r="52">
      <c r="A52" s="6" t="s">
        <v>59</v>
      </c>
      <c r="B52" s="25">
        <v>-0.005080406432514506</v>
      </c>
      <c r="L52" s="6" t="s">
        <v>59</v>
      </c>
      <c r="M52" s="25">
        <v>-0.05192390215991982</v>
      </c>
    </row>
    <row r="53">
      <c r="A53" s="6" t="s">
        <v>60</v>
      </c>
      <c r="B53" s="25">
        <v>-0.04831156965013139</v>
      </c>
      <c r="L53" s="6" t="s">
        <v>60</v>
      </c>
      <c r="M53" s="25">
        <v>-0.08350812794965923</v>
      </c>
    </row>
    <row r="54">
      <c r="A54" s="6"/>
      <c r="B54" s="25"/>
      <c r="L54" s="6" t="s">
        <v>61</v>
      </c>
      <c r="M54" s="25" t="e">
        <v>#DIV/0!</v>
      </c>
    </row>
    <row r="55">
      <c r="B55" s="33"/>
      <c r="M55" s="25"/>
    </row>
    <row r="56">
      <c r="B56" s="34"/>
      <c r="M56" s="25"/>
    </row>
    <row r="57">
      <c r="B57" s="34"/>
      <c r="M57" s="25"/>
    </row>
    <row r="58">
      <c r="B58" s="34"/>
      <c r="M58" s="25"/>
    </row>
    <row r="59">
      <c r="B59" s="34"/>
      <c r="M59" s="25"/>
    </row>
    <row r="60">
      <c r="B60" s="34"/>
      <c r="M60" s="25"/>
    </row>
    <row r="61">
      <c r="B61" s="34"/>
      <c r="M61" s="25"/>
    </row>
    <row r="62">
      <c r="B62" s="34"/>
      <c r="M62" s="25"/>
    </row>
    <row r="63">
      <c r="B63" s="34"/>
      <c r="M63" s="25"/>
    </row>
    <row r="64">
      <c r="B64" s="34"/>
      <c r="M64" s="25"/>
    </row>
    <row r="65">
      <c r="B65" s="34"/>
      <c r="M65" s="25"/>
    </row>
    <row r="66">
      <c r="B66" s="34"/>
      <c r="M66" s="25"/>
    </row>
    <row r="67">
      <c r="B67" s="34"/>
      <c r="M67" s="25"/>
    </row>
    <row r="68">
      <c r="B68" s="34"/>
      <c r="M68" s="25"/>
    </row>
    <row r="69">
      <c r="B69" s="34"/>
      <c r="M69" s="25"/>
    </row>
    <row r="70">
      <c r="B70" s="34"/>
      <c r="M70" s="25"/>
    </row>
    <row r="71">
      <c r="B71" s="34"/>
      <c r="M71" s="25"/>
    </row>
    <row r="72">
      <c r="B72" s="34"/>
      <c r="M72" s="25"/>
    </row>
    <row r="73">
      <c r="B73" s="34"/>
      <c r="M73" s="25"/>
    </row>
    <row r="74">
      <c r="B74" s="34"/>
      <c r="M74" s="25"/>
    </row>
    <row r="75">
      <c r="B75" s="34"/>
      <c r="M75" s="25"/>
    </row>
    <row r="76">
      <c r="B76" s="34"/>
      <c r="M76" s="25"/>
    </row>
    <row r="77">
      <c r="B77" s="34"/>
      <c r="M77" s="25"/>
    </row>
    <row r="78">
      <c r="B78" s="34"/>
      <c r="M78" s="25"/>
    </row>
    <row r="79">
      <c r="B79" s="34"/>
      <c r="M79" s="25"/>
    </row>
    <row r="80">
      <c r="B80" s="34"/>
      <c r="M80" s="25"/>
    </row>
    <row r="81">
      <c r="B81" s="34"/>
      <c r="M81" s="25"/>
    </row>
    <row r="82">
      <c r="B82" s="34"/>
      <c r="M82" s="25"/>
    </row>
    <row r="83">
      <c r="B83" s="34"/>
      <c r="M83" s="25"/>
    </row>
    <row r="84">
      <c r="B84" s="34"/>
      <c r="M84" s="25"/>
    </row>
    <row r="85">
      <c r="B85" s="34"/>
      <c r="M85" s="25"/>
    </row>
    <row r="86">
      <c r="B86" s="34"/>
      <c r="M86" s="25"/>
    </row>
    <row r="87">
      <c r="B87" s="34"/>
      <c r="M87" s="25"/>
    </row>
    <row r="88">
      <c r="B88" s="34"/>
      <c r="M88" s="25"/>
    </row>
    <row r="89">
      <c r="B89" s="34"/>
      <c r="M89" s="25"/>
    </row>
    <row r="90">
      <c r="B90" s="34"/>
      <c r="M90" s="25"/>
    </row>
    <row r="91">
      <c r="B91" s="34"/>
      <c r="M91" s="25"/>
    </row>
    <row r="92">
      <c r="B92" s="34"/>
      <c r="M92" s="25"/>
    </row>
    <row r="93">
      <c r="B93" s="34"/>
      <c r="M93" s="25"/>
    </row>
    <row r="94">
      <c r="B94" s="34"/>
      <c r="M94" s="25"/>
    </row>
    <row r="95">
      <c r="B95" s="34"/>
      <c r="M95" s="25"/>
    </row>
    <row r="96">
      <c r="B96" s="34"/>
      <c r="M96" s="25"/>
    </row>
    <row r="97">
      <c r="B97" s="34"/>
      <c r="M97" s="25"/>
    </row>
    <row r="98">
      <c r="B98" s="34"/>
      <c r="M98" s="25"/>
    </row>
    <row r="99">
      <c r="B99" s="34"/>
      <c r="M99" s="25"/>
    </row>
    <row r="100">
      <c r="B100" s="34"/>
      <c r="M100" s="25"/>
    </row>
    <row r="101">
      <c r="B101" s="34"/>
      <c r="M101" s="25"/>
    </row>
    <row r="102">
      <c r="B102" s="34"/>
      <c r="M102" s="25"/>
    </row>
    <row r="103">
      <c r="B103" s="34"/>
      <c r="M103" s="25"/>
    </row>
    <row r="104">
      <c r="B104" s="34"/>
      <c r="M104" s="25"/>
    </row>
    <row r="105">
      <c r="B105" s="34"/>
      <c r="M105" s="25"/>
    </row>
    <row r="106">
      <c r="B106" s="34"/>
      <c r="M106" s="25"/>
    </row>
    <row r="107">
      <c r="B107" s="34"/>
      <c r="M107" s="25"/>
    </row>
    <row r="108">
      <c r="B108" s="34"/>
      <c r="M108" s="25"/>
    </row>
    <row r="109">
      <c r="B109" s="33"/>
      <c r="M109" s="25"/>
    </row>
    <row r="110">
      <c r="B110" s="34"/>
      <c r="M110" s="25"/>
    </row>
    <row r="111">
      <c r="B111" s="34"/>
      <c r="M111" s="25"/>
    </row>
    <row r="112">
      <c r="B112" s="34"/>
      <c r="M112" s="25"/>
    </row>
    <row r="113">
      <c r="B113" s="34"/>
      <c r="M113" s="25"/>
    </row>
    <row r="114">
      <c r="B114" s="34"/>
      <c r="M114" s="25"/>
    </row>
    <row r="115">
      <c r="B115" s="34"/>
      <c r="M115" s="25"/>
    </row>
    <row r="116">
      <c r="B116" s="34"/>
      <c r="M116" s="25"/>
    </row>
    <row r="117">
      <c r="B117" s="34"/>
      <c r="M117" s="25"/>
    </row>
    <row r="118">
      <c r="B118" s="34"/>
      <c r="M118" s="25"/>
    </row>
    <row r="119">
      <c r="B119" s="34"/>
      <c r="M119" s="25"/>
    </row>
    <row r="120">
      <c r="B120" s="34"/>
      <c r="M120" s="25"/>
    </row>
    <row r="121">
      <c r="B121" s="34"/>
      <c r="M121" s="25"/>
    </row>
    <row r="122">
      <c r="B122" s="34"/>
      <c r="M122" s="25"/>
    </row>
    <row r="123">
      <c r="B123" s="34"/>
      <c r="M123" s="25"/>
    </row>
    <row r="124">
      <c r="B124" s="34"/>
      <c r="M124" s="25"/>
    </row>
    <row r="125">
      <c r="B125" s="34"/>
      <c r="M125" s="25"/>
    </row>
    <row r="126">
      <c r="B126" s="34"/>
      <c r="M126" s="25"/>
    </row>
    <row r="127">
      <c r="B127" s="34"/>
      <c r="M127" s="25"/>
    </row>
    <row r="128">
      <c r="B128" s="34"/>
      <c r="M128" s="25"/>
    </row>
    <row r="129">
      <c r="B129" s="34"/>
      <c r="M129" s="25"/>
    </row>
    <row r="130">
      <c r="B130" s="34"/>
      <c r="M130" s="25"/>
    </row>
    <row r="131">
      <c r="B131" s="34"/>
      <c r="M131" s="25"/>
    </row>
    <row r="132">
      <c r="B132" s="34"/>
      <c r="M132" s="25"/>
    </row>
    <row r="133">
      <c r="B133" s="34"/>
      <c r="M133" s="25"/>
    </row>
    <row r="134">
      <c r="B134" s="34"/>
      <c r="M134" s="25"/>
    </row>
    <row r="135">
      <c r="B135" s="34"/>
      <c r="M135" s="25"/>
    </row>
    <row r="136">
      <c r="B136" s="34"/>
      <c r="M136" s="25"/>
    </row>
    <row r="137">
      <c r="B137" s="34"/>
      <c r="M137" s="25"/>
    </row>
    <row r="138">
      <c r="B138" s="34"/>
      <c r="M138" s="25"/>
    </row>
    <row r="139">
      <c r="B139" s="34"/>
      <c r="M139" s="25"/>
    </row>
    <row r="140">
      <c r="B140" s="34"/>
      <c r="M140" s="25"/>
    </row>
    <row r="141">
      <c r="B141" s="34"/>
      <c r="M141" s="25"/>
    </row>
    <row r="142">
      <c r="B142" s="34"/>
      <c r="M142" s="25"/>
    </row>
    <row r="143">
      <c r="B143" s="34"/>
      <c r="M143" s="25"/>
    </row>
    <row r="144">
      <c r="B144" s="34"/>
      <c r="M144" s="25"/>
    </row>
    <row r="145">
      <c r="B145" s="34"/>
      <c r="M145" s="25"/>
    </row>
    <row r="146">
      <c r="B146" s="34"/>
      <c r="M146" s="25"/>
    </row>
    <row r="147">
      <c r="B147" s="34"/>
      <c r="M147" s="25"/>
    </row>
    <row r="148">
      <c r="B148" s="34"/>
      <c r="M148" s="25"/>
    </row>
    <row r="149">
      <c r="B149" s="34"/>
      <c r="M149" s="25"/>
    </row>
    <row r="150">
      <c r="B150" s="34"/>
      <c r="M150" s="25"/>
    </row>
    <row r="151">
      <c r="B151" s="34"/>
      <c r="M151" s="25"/>
    </row>
    <row r="152">
      <c r="B152" s="34"/>
      <c r="M152" s="25"/>
    </row>
    <row r="153">
      <c r="B153" s="34"/>
      <c r="M153" s="25"/>
    </row>
    <row r="154">
      <c r="B154" s="34"/>
      <c r="M154" s="25"/>
    </row>
    <row r="155">
      <c r="B155" s="34"/>
      <c r="M155" s="25"/>
    </row>
    <row r="156">
      <c r="B156" s="34"/>
      <c r="M156" s="25"/>
    </row>
    <row r="157">
      <c r="B157" s="34"/>
      <c r="M157" s="25"/>
    </row>
    <row r="158">
      <c r="B158" s="34"/>
      <c r="M158" s="25"/>
    </row>
    <row r="159">
      <c r="B159" s="34"/>
      <c r="M159" s="25"/>
    </row>
    <row r="160">
      <c r="B160" s="34"/>
      <c r="M160" s="25"/>
    </row>
    <row r="161">
      <c r="B161" s="34"/>
      <c r="M161" s="25"/>
    </row>
    <row r="162">
      <c r="B162" s="34"/>
      <c r="M162" s="25"/>
    </row>
    <row r="163">
      <c r="B163" s="33"/>
      <c r="M163" s="25"/>
    </row>
    <row r="164">
      <c r="B164" s="34"/>
      <c r="M164" s="25"/>
    </row>
    <row r="165">
      <c r="B165" s="34"/>
      <c r="M165" s="25"/>
    </row>
    <row r="166">
      <c r="B166" s="34"/>
      <c r="M166" s="25"/>
    </row>
    <row r="167">
      <c r="B167" s="34"/>
      <c r="M167" s="25"/>
    </row>
    <row r="168">
      <c r="B168" s="34"/>
      <c r="M168" s="25"/>
    </row>
    <row r="169">
      <c r="B169" s="34"/>
      <c r="M169" s="25"/>
    </row>
    <row r="170">
      <c r="B170" s="34"/>
      <c r="M170" s="25"/>
    </row>
    <row r="171">
      <c r="B171" s="34"/>
      <c r="M171" s="25"/>
    </row>
    <row r="172">
      <c r="B172" s="34"/>
      <c r="M172" s="25"/>
    </row>
    <row r="173">
      <c r="B173" s="34"/>
      <c r="M173" s="25"/>
    </row>
    <row r="174">
      <c r="B174" s="34"/>
      <c r="M174" s="25"/>
    </row>
    <row r="175">
      <c r="B175" s="34"/>
      <c r="M175" s="25"/>
    </row>
    <row r="176">
      <c r="B176" s="34"/>
      <c r="M176" s="25"/>
    </row>
    <row r="177">
      <c r="B177" s="34"/>
      <c r="M177" s="25"/>
    </row>
    <row r="178">
      <c r="B178" s="34"/>
      <c r="M178" s="25"/>
    </row>
    <row r="179">
      <c r="B179" s="34"/>
      <c r="M179" s="25"/>
    </row>
    <row r="180">
      <c r="B180" s="34"/>
      <c r="M180" s="25"/>
    </row>
    <row r="181">
      <c r="B181" s="34"/>
      <c r="M181" s="25"/>
    </row>
    <row r="182">
      <c r="B182" s="34"/>
      <c r="M182" s="25"/>
    </row>
    <row r="183">
      <c r="B183" s="34"/>
      <c r="M183" s="25"/>
    </row>
    <row r="184">
      <c r="B184" s="34"/>
      <c r="M184" s="25"/>
    </row>
    <row r="185">
      <c r="B185" s="34"/>
      <c r="M185" s="25"/>
    </row>
    <row r="186">
      <c r="B186" s="34"/>
      <c r="M186" s="25"/>
    </row>
    <row r="187">
      <c r="B187" s="34"/>
      <c r="M187" s="25"/>
    </row>
    <row r="188">
      <c r="B188" s="34"/>
      <c r="M188" s="25"/>
    </row>
    <row r="189">
      <c r="B189" s="34"/>
      <c r="M189" s="25"/>
    </row>
    <row r="190">
      <c r="B190" s="34"/>
      <c r="M190" s="25"/>
    </row>
    <row r="191">
      <c r="B191" s="34"/>
      <c r="M191" s="25"/>
    </row>
    <row r="192">
      <c r="B192" s="34"/>
      <c r="M192" s="25"/>
    </row>
    <row r="193">
      <c r="B193" s="34"/>
      <c r="M193" s="25"/>
    </row>
    <row r="194">
      <c r="B194" s="34"/>
      <c r="M194" s="25"/>
    </row>
    <row r="195">
      <c r="B195" s="34"/>
      <c r="M195" s="25"/>
    </row>
    <row r="196">
      <c r="B196" s="34"/>
      <c r="M196" s="25"/>
    </row>
    <row r="197">
      <c r="B197" s="34"/>
      <c r="M197" s="25"/>
    </row>
    <row r="198">
      <c r="B198" s="34"/>
      <c r="M198" s="25"/>
    </row>
    <row r="199">
      <c r="B199" s="34"/>
      <c r="M199" s="25"/>
    </row>
    <row r="200">
      <c r="B200" s="34"/>
      <c r="M200" s="25"/>
    </row>
    <row r="201">
      <c r="B201" s="34"/>
      <c r="M201" s="25"/>
    </row>
    <row r="202">
      <c r="B202" s="34"/>
      <c r="M202" s="25"/>
    </row>
    <row r="203">
      <c r="B203" s="34"/>
      <c r="M203" s="25"/>
    </row>
    <row r="204">
      <c r="B204" s="34"/>
      <c r="M204" s="25"/>
    </row>
    <row r="205">
      <c r="B205" s="34"/>
      <c r="M205" s="25"/>
    </row>
    <row r="206">
      <c r="B206" s="34"/>
      <c r="M206" s="25"/>
    </row>
    <row r="207">
      <c r="B207" s="34"/>
      <c r="M207" s="25"/>
    </row>
    <row r="208">
      <c r="B208" s="34"/>
      <c r="M208" s="25"/>
    </row>
    <row r="209">
      <c r="B209" s="34"/>
      <c r="M209" s="25"/>
    </row>
    <row r="210">
      <c r="B210" s="34"/>
      <c r="M210" s="25"/>
    </row>
    <row r="211">
      <c r="B211" s="34"/>
      <c r="M211" s="25"/>
    </row>
    <row r="212">
      <c r="B212" s="34"/>
      <c r="M212" s="25"/>
    </row>
    <row r="213">
      <c r="B213" s="34"/>
      <c r="M213" s="25"/>
    </row>
    <row r="214">
      <c r="B214" s="34"/>
      <c r="M214" s="25"/>
    </row>
    <row r="215">
      <c r="B215" s="34"/>
      <c r="M215" s="25"/>
    </row>
    <row r="216">
      <c r="B216" s="34"/>
      <c r="M216" s="25"/>
    </row>
    <row r="217">
      <c r="B217" s="33"/>
      <c r="M217" s="25"/>
    </row>
    <row r="218">
      <c r="B218" s="34"/>
      <c r="M218" s="25"/>
    </row>
    <row r="219">
      <c r="B219" s="34"/>
      <c r="M219" s="25"/>
    </row>
    <row r="220">
      <c r="B220" s="34"/>
      <c r="M220" s="25"/>
    </row>
    <row r="221">
      <c r="B221" s="34"/>
      <c r="M221" s="25"/>
    </row>
    <row r="222">
      <c r="B222" s="34"/>
      <c r="M222" s="25"/>
    </row>
    <row r="223">
      <c r="B223" s="34"/>
      <c r="M223" s="25"/>
    </row>
    <row r="224">
      <c r="B224" s="34"/>
      <c r="M224" s="25"/>
    </row>
    <row r="225">
      <c r="B225" s="34"/>
      <c r="M225" s="25"/>
    </row>
    <row r="226">
      <c r="B226" s="34"/>
      <c r="M226" s="25"/>
    </row>
    <row r="227">
      <c r="B227" s="34"/>
      <c r="M227" s="25"/>
    </row>
    <row r="228">
      <c r="B228" s="34"/>
      <c r="M228" s="25"/>
    </row>
    <row r="229">
      <c r="B229" s="34"/>
      <c r="M229" s="25"/>
    </row>
    <row r="230">
      <c r="B230" s="34"/>
      <c r="M230" s="25"/>
    </row>
    <row r="231">
      <c r="B231" s="34"/>
      <c r="M231" s="25"/>
    </row>
    <row r="232">
      <c r="B232" s="34"/>
      <c r="M232" s="25"/>
    </row>
    <row r="233">
      <c r="B233" s="34"/>
      <c r="M233" s="25"/>
    </row>
    <row r="234">
      <c r="B234" s="34"/>
      <c r="M234" s="25"/>
    </row>
    <row r="235">
      <c r="B235" s="34"/>
      <c r="M235" s="25"/>
    </row>
    <row r="236">
      <c r="B236" s="34"/>
      <c r="M236" s="25"/>
    </row>
    <row r="237">
      <c r="B237" s="34"/>
      <c r="M237" s="25"/>
    </row>
    <row r="238">
      <c r="B238" s="34"/>
      <c r="M238" s="25"/>
    </row>
    <row r="239">
      <c r="B239" s="34"/>
      <c r="M239" s="25"/>
    </row>
    <row r="240">
      <c r="B240" s="34"/>
      <c r="M240" s="25"/>
    </row>
    <row r="241">
      <c r="B241" s="34"/>
      <c r="M241" s="25"/>
    </row>
    <row r="242">
      <c r="B242" s="34"/>
      <c r="M242" s="25"/>
    </row>
    <row r="243">
      <c r="B243" s="34"/>
      <c r="M243" s="25"/>
    </row>
    <row r="244">
      <c r="B244" s="34"/>
      <c r="M244" s="25"/>
    </row>
    <row r="245">
      <c r="B245" s="34"/>
      <c r="M245" s="25"/>
    </row>
    <row r="246">
      <c r="B246" s="34"/>
      <c r="M246" s="25"/>
    </row>
    <row r="247">
      <c r="B247" s="34"/>
      <c r="M247" s="25"/>
    </row>
    <row r="248">
      <c r="B248" s="34"/>
      <c r="M248" s="25"/>
    </row>
    <row r="249">
      <c r="B249" s="34"/>
      <c r="M249" s="25"/>
    </row>
    <row r="250">
      <c r="B250" s="34"/>
      <c r="M250" s="25"/>
    </row>
    <row r="251">
      <c r="B251" s="34"/>
      <c r="M251" s="25"/>
    </row>
    <row r="252">
      <c r="B252" s="34"/>
      <c r="M252" s="25"/>
    </row>
    <row r="253">
      <c r="B253" s="34"/>
      <c r="M253" s="25"/>
    </row>
    <row r="254">
      <c r="B254" s="34"/>
      <c r="M254" s="25"/>
    </row>
    <row r="255">
      <c r="B255" s="34"/>
      <c r="M255" s="25"/>
    </row>
    <row r="256">
      <c r="B256" s="34"/>
      <c r="M256" s="25"/>
    </row>
    <row r="257">
      <c r="B257" s="34"/>
      <c r="M257" s="25"/>
    </row>
    <row r="258">
      <c r="B258" s="34"/>
      <c r="M258" s="25"/>
    </row>
    <row r="259">
      <c r="B259" s="34"/>
      <c r="M259" s="25"/>
    </row>
    <row r="260">
      <c r="B260" s="34"/>
      <c r="M260" s="25"/>
    </row>
    <row r="261">
      <c r="B261" s="34"/>
      <c r="M261" s="25"/>
    </row>
    <row r="262">
      <c r="B262" s="34"/>
      <c r="M262" s="25"/>
    </row>
    <row r="263">
      <c r="B263" s="34"/>
      <c r="M263" s="25"/>
    </row>
    <row r="264">
      <c r="B264" s="34"/>
      <c r="M264" s="25"/>
    </row>
    <row r="265">
      <c r="B265" s="34"/>
      <c r="M265" s="25"/>
    </row>
    <row r="266">
      <c r="B266" s="34"/>
      <c r="M266" s="25"/>
    </row>
    <row r="267">
      <c r="B267" s="34"/>
      <c r="M267" s="25"/>
    </row>
    <row r="268">
      <c r="B268" s="34"/>
      <c r="M268" s="25"/>
    </row>
    <row r="269">
      <c r="B269" s="34"/>
      <c r="M269" s="25"/>
    </row>
    <row r="270">
      <c r="B270" s="34"/>
      <c r="M270" s="25"/>
    </row>
    <row r="271">
      <c r="B271" s="33"/>
      <c r="M271" s="25"/>
    </row>
    <row r="272">
      <c r="B272" s="34"/>
      <c r="M272" s="25"/>
    </row>
    <row r="273">
      <c r="B273" s="34"/>
      <c r="M273" s="25"/>
    </row>
    <row r="274">
      <c r="B274" s="34"/>
      <c r="M274" s="25"/>
    </row>
    <row r="275">
      <c r="B275" s="34"/>
      <c r="M275" s="25"/>
    </row>
    <row r="276">
      <c r="B276" s="34"/>
      <c r="M276" s="25"/>
    </row>
    <row r="277">
      <c r="B277" s="34"/>
      <c r="M277" s="25"/>
    </row>
    <row r="278">
      <c r="B278" s="34"/>
      <c r="M278" s="25"/>
    </row>
    <row r="279">
      <c r="B279" s="34"/>
      <c r="M279" s="25"/>
    </row>
    <row r="280">
      <c r="B280" s="34"/>
      <c r="M280" s="25"/>
    </row>
    <row r="281">
      <c r="B281" s="34"/>
      <c r="M281" s="25"/>
    </row>
    <row r="282">
      <c r="B282" s="34"/>
      <c r="M282" s="25"/>
    </row>
    <row r="283">
      <c r="B283" s="34"/>
      <c r="M283" s="25"/>
    </row>
    <row r="284">
      <c r="B284" s="34"/>
      <c r="M284" s="25"/>
    </row>
    <row r="285">
      <c r="B285" s="34"/>
      <c r="M285" s="25"/>
    </row>
    <row r="286">
      <c r="B286" s="34"/>
      <c r="M286" s="25"/>
    </row>
    <row r="287">
      <c r="B287" s="34"/>
      <c r="M287" s="25"/>
    </row>
    <row r="288">
      <c r="B288" s="34"/>
      <c r="M288" s="25"/>
    </row>
    <row r="289">
      <c r="B289" s="34"/>
      <c r="M289" s="25"/>
    </row>
    <row r="290">
      <c r="B290" s="34"/>
      <c r="M290" s="25"/>
    </row>
    <row r="291">
      <c r="B291" s="34"/>
      <c r="M291" s="25"/>
    </row>
    <row r="292">
      <c r="B292" s="34"/>
      <c r="M292" s="25"/>
    </row>
    <row r="293">
      <c r="B293" s="34"/>
      <c r="M293" s="25"/>
    </row>
    <row r="294">
      <c r="B294" s="34"/>
      <c r="M294" s="25"/>
    </row>
    <row r="295">
      <c r="B295" s="34"/>
      <c r="M295" s="25"/>
    </row>
    <row r="296">
      <c r="B296" s="34"/>
      <c r="M296" s="25"/>
    </row>
    <row r="297">
      <c r="B297" s="34"/>
      <c r="M297" s="25"/>
    </row>
    <row r="298">
      <c r="B298" s="34"/>
      <c r="M298" s="25"/>
    </row>
    <row r="299">
      <c r="B299" s="34"/>
      <c r="M299" s="25"/>
    </row>
    <row r="300">
      <c r="B300" s="34"/>
      <c r="M300" s="25"/>
    </row>
    <row r="301">
      <c r="B301" s="34"/>
      <c r="M301" s="25"/>
    </row>
    <row r="302">
      <c r="B302" s="34"/>
      <c r="M302" s="25"/>
    </row>
    <row r="303">
      <c r="B303" s="34"/>
      <c r="M303" s="25"/>
    </row>
    <row r="304">
      <c r="B304" s="34"/>
      <c r="M304" s="25"/>
    </row>
    <row r="305">
      <c r="B305" s="34"/>
      <c r="M305" s="25"/>
    </row>
    <row r="306">
      <c r="B306" s="34"/>
      <c r="M306" s="25"/>
    </row>
    <row r="307">
      <c r="B307" s="34"/>
      <c r="M307" s="25"/>
    </row>
    <row r="308">
      <c r="B308" s="34"/>
      <c r="M308" s="25"/>
    </row>
    <row r="309">
      <c r="B309" s="34"/>
      <c r="M309" s="25"/>
    </row>
    <row r="310">
      <c r="B310" s="34"/>
      <c r="M310" s="25"/>
    </row>
    <row r="311">
      <c r="B311" s="34"/>
      <c r="M311" s="25"/>
    </row>
    <row r="312">
      <c r="B312" s="34"/>
      <c r="M312" s="25"/>
    </row>
    <row r="313">
      <c r="B313" s="34"/>
      <c r="M313" s="25"/>
    </row>
    <row r="314">
      <c r="B314" s="34"/>
      <c r="M314" s="25"/>
    </row>
    <row r="315">
      <c r="B315" s="34"/>
      <c r="M315" s="25"/>
    </row>
    <row r="316">
      <c r="B316" s="34"/>
      <c r="M316" s="25"/>
    </row>
    <row r="317">
      <c r="B317" s="34"/>
      <c r="M317" s="25"/>
    </row>
    <row r="318">
      <c r="B318" s="34"/>
      <c r="M318" s="25"/>
    </row>
    <row r="319">
      <c r="B319" s="34"/>
      <c r="M319" s="25"/>
    </row>
    <row r="320">
      <c r="B320" s="34"/>
      <c r="M320" s="25"/>
    </row>
    <row r="321">
      <c r="B321" s="34"/>
      <c r="M321" s="25"/>
    </row>
    <row r="322">
      <c r="B322" s="34"/>
      <c r="M322" s="25"/>
    </row>
    <row r="323">
      <c r="B323" s="34"/>
      <c r="M323" s="25"/>
    </row>
    <row r="324">
      <c r="B324" s="34"/>
      <c r="M324" s="25"/>
    </row>
    <row r="325">
      <c r="B325" s="33"/>
      <c r="M325" s="25"/>
    </row>
    <row r="326">
      <c r="B326" s="34"/>
      <c r="M326" s="25"/>
    </row>
    <row r="327">
      <c r="B327" s="34"/>
      <c r="M327" s="25"/>
    </row>
    <row r="328">
      <c r="B328" s="34"/>
      <c r="M328" s="25"/>
    </row>
    <row r="329">
      <c r="B329" s="34"/>
      <c r="M329" s="25"/>
    </row>
    <row r="330">
      <c r="B330" s="34"/>
      <c r="M330" s="25"/>
    </row>
    <row r="331">
      <c r="B331" s="34"/>
      <c r="M331" s="25"/>
    </row>
    <row r="332">
      <c r="B332" s="34"/>
      <c r="M332" s="25"/>
    </row>
    <row r="333">
      <c r="B333" s="34"/>
      <c r="M333" s="25"/>
    </row>
    <row r="334">
      <c r="B334" s="34"/>
      <c r="M334" s="25"/>
    </row>
    <row r="335">
      <c r="B335" s="34"/>
      <c r="M335" s="25"/>
    </row>
    <row r="336">
      <c r="B336" s="34"/>
      <c r="M336" s="25"/>
    </row>
    <row r="337">
      <c r="B337" s="34"/>
      <c r="M337" s="25"/>
    </row>
    <row r="338">
      <c r="B338" s="34"/>
      <c r="M338" s="25"/>
    </row>
    <row r="339">
      <c r="B339" s="34"/>
      <c r="M339" s="25"/>
    </row>
    <row r="340">
      <c r="B340" s="34"/>
      <c r="M340" s="25"/>
    </row>
    <row r="341">
      <c r="B341" s="34"/>
      <c r="M341" s="25"/>
    </row>
    <row r="342">
      <c r="B342" s="34"/>
      <c r="M342" s="25"/>
    </row>
    <row r="343">
      <c r="B343" s="34"/>
      <c r="M343" s="25"/>
    </row>
    <row r="344">
      <c r="B344" s="34"/>
      <c r="M344" s="25"/>
    </row>
    <row r="345">
      <c r="B345" s="34"/>
      <c r="M345" s="25"/>
    </row>
    <row r="346">
      <c r="B346" s="34"/>
      <c r="M346" s="25"/>
    </row>
    <row r="347">
      <c r="B347" s="34"/>
      <c r="M347" s="25"/>
    </row>
    <row r="348">
      <c r="B348" s="34"/>
      <c r="M348" s="25"/>
    </row>
    <row r="349">
      <c r="B349" s="34"/>
      <c r="M349" s="25"/>
    </row>
    <row r="350">
      <c r="B350" s="34"/>
      <c r="M350" s="25"/>
    </row>
    <row r="351">
      <c r="B351" s="34"/>
      <c r="M351" s="25"/>
    </row>
    <row r="352">
      <c r="B352" s="34"/>
      <c r="M352" s="25"/>
    </row>
    <row r="353">
      <c r="B353" s="34"/>
      <c r="M353" s="25"/>
    </row>
    <row r="354">
      <c r="B354" s="34"/>
      <c r="M354" s="25"/>
    </row>
    <row r="355">
      <c r="B355" s="34"/>
      <c r="M355" s="25"/>
    </row>
    <row r="356">
      <c r="B356" s="34"/>
      <c r="M356" s="25"/>
    </row>
    <row r="357">
      <c r="B357" s="34"/>
      <c r="M357" s="25"/>
    </row>
    <row r="358">
      <c r="B358" s="34"/>
      <c r="M358" s="25"/>
    </row>
    <row r="359">
      <c r="B359" s="34"/>
      <c r="M359" s="25"/>
    </row>
    <row r="360">
      <c r="B360" s="34"/>
      <c r="M360" s="25"/>
    </row>
    <row r="361">
      <c r="B361" s="34"/>
      <c r="M361" s="25"/>
    </row>
    <row r="362">
      <c r="B362" s="34"/>
      <c r="M362" s="25"/>
    </row>
    <row r="363">
      <c r="B363" s="34"/>
      <c r="M363" s="25"/>
    </row>
    <row r="364">
      <c r="B364" s="34"/>
      <c r="M364" s="25"/>
    </row>
    <row r="365">
      <c r="B365" s="34"/>
      <c r="M365" s="25"/>
    </row>
    <row r="366">
      <c r="B366" s="34"/>
      <c r="M366" s="25"/>
    </row>
    <row r="367">
      <c r="B367" s="34"/>
      <c r="M367" s="25"/>
    </row>
    <row r="368">
      <c r="B368" s="34"/>
      <c r="M368" s="25"/>
    </row>
    <row r="369">
      <c r="B369" s="34"/>
      <c r="M369" s="25"/>
    </row>
    <row r="370">
      <c r="B370" s="34"/>
      <c r="M370" s="25"/>
    </row>
    <row r="371">
      <c r="B371" s="34"/>
      <c r="M371" s="25"/>
    </row>
    <row r="372">
      <c r="B372" s="34"/>
      <c r="M372" s="25"/>
    </row>
    <row r="373">
      <c r="B373" s="34"/>
      <c r="M373" s="25"/>
    </row>
    <row r="374">
      <c r="B374" s="34"/>
      <c r="M374" s="25"/>
    </row>
    <row r="375">
      <c r="B375" s="34"/>
      <c r="M375" s="25"/>
    </row>
    <row r="376">
      <c r="B376" s="34"/>
      <c r="M376" s="25"/>
    </row>
    <row r="377">
      <c r="B377" s="34"/>
      <c r="M377" s="25"/>
    </row>
    <row r="378">
      <c r="B378" s="34"/>
      <c r="M378" s="25"/>
    </row>
    <row r="379">
      <c r="B379" s="33"/>
      <c r="M379" s="25"/>
    </row>
    <row r="380">
      <c r="B380" s="34"/>
      <c r="M380" s="25"/>
    </row>
    <row r="381">
      <c r="B381" s="34"/>
      <c r="M381" s="25"/>
    </row>
    <row r="382">
      <c r="B382" s="34"/>
      <c r="M382" s="25"/>
    </row>
    <row r="383">
      <c r="B383" s="34"/>
      <c r="M383" s="25"/>
    </row>
    <row r="384">
      <c r="B384" s="34"/>
      <c r="M384" s="25"/>
    </row>
    <row r="385">
      <c r="B385" s="34"/>
      <c r="M385" s="25"/>
    </row>
    <row r="386">
      <c r="B386" s="34"/>
      <c r="M386" s="25"/>
    </row>
    <row r="387">
      <c r="B387" s="34"/>
      <c r="M387" s="25"/>
    </row>
    <row r="388">
      <c r="B388" s="34"/>
      <c r="M388" s="25"/>
    </row>
    <row r="389">
      <c r="B389" s="34"/>
      <c r="M389" s="25"/>
    </row>
    <row r="390">
      <c r="B390" s="34"/>
      <c r="M390" s="25"/>
    </row>
    <row r="391">
      <c r="B391" s="34"/>
      <c r="M391" s="25"/>
    </row>
    <row r="392">
      <c r="B392" s="34"/>
      <c r="M392" s="25"/>
    </row>
    <row r="393">
      <c r="B393" s="34"/>
      <c r="M393" s="25"/>
    </row>
    <row r="394">
      <c r="B394" s="34"/>
      <c r="M394" s="25"/>
    </row>
    <row r="395">
      <c r="B395" s="34"/>
      <c r="M395" s="25"/>
    </row>
    <row r="396">
      <c r="B396" s="34"/>
      <c r="M396" s="25"/>
    </row>
    <row r="397">
      <c r="B397" s="34"/>
      <c r="M397" s="25"/>
    </row>
    <row r="398">
      <c r="B398" s="34"/>
      <c r="M398" s="25"/>
    </row>
    <row r="399">
      <c r="B399" s="34"/>
      <c r="M399" s="25"/>
    </row>
    <row r="400">
      <c r="B400" s="34"/>
      <c r="M400" s="25"/>
    </row>
    <row r="401">
      <c r="B401" s="34"/>
      <c r="M401" s="25"/>
    </row>
    <row r="402">
      <c r="B402" s="34"/>
      <c r="M402" s="25"/>
    </row>
    <row r="403">
      <c r="B403" s="34"/>
      <c r="M403" s="25"/>
    </row>
    <row r="404">
      <c r="B404" s="34"/>
      <c r="M404" s="25"/>
    </row>
    <row r="405">
      <c r="B405" s="34"/>
      <c r="M405" s="25"/>
    </row>
    <row r="406">
      <c r="B406" s="34"/>
      <c r="M406" s="25"/>
    </row>
    <row r="407">
      <c r="B407" s="34"/>
      <c r="M407" s="25"/>
    </row>
    <row r="408">
      <c r="B408" s="34"/>
      <c r="M408" s="25"/>
    </row>
    <row r="409">
      <c r="B409" s="34"/>
      <c r="M409" s="25"/>
    </row>
    <row r="410">
      <c r="B410" s="34"/>
      <c r="M410" s="25"/>
    </row>
    <row r="411">
      <c r="B411" s="34"/>
      <c r="M411" s="25"/>
    </row>
    <row r="412">
      <c r="B412" s="34"/>
      <c r="M412" s="25"/>
    </row>
    <row r="413">
      <c r="B413" s="34"/>
      <c r="M413" s="25"/>
    </row>
    <row r="414">
      <c r="B414" s="34"/>
      <c r="M414" s="25"/>
    </row>
    <row r="415">
      <c r="B415" s="34"/>
      <c r="M415" s="25"/>
    </row>
    <row r="416">
      <c r="B416" s="34"/>
      <c r="M416" s="25"/>
    </row>
    <row r="417">
      <c r="B417" s="34"/>
      <c r="M417" s="25"/>
    </row>
    <row r="418">
      <c r="B418" s="34"/>
      <c r="M418" s="25"/>
    </row>
    <row r="419">
      <c r="B419" s="34"/>
      <c r="M419" s="25"/>
    </row>
    <row r="420">
      <c r="B420" s="34"/>
      <c r="M420" s="25"/>
    </row>
    <row r="421">
      <c r="B421" s="34"/>
      <c r="M421" s="25"/>
    </row>
    <row r="422">
      <c r="B422" s="34"/>
      <c r="M422" s="25"/>
    </row>
    <row r="423">
      <c r="B423" s="34"/>
      <c r="M423" s="25"/>
    </row>
    <row r="424">
      <c r="B424" s="34"/>
      <c r="M424" s="25"/>
    </row>
    <row r="425">
      <c r="B425" s="34"/>
      <c r="M425" s="25"/>
    </row>
    <row r="426">
      <c r="B426" s="34"/>
      <c r="M426" s="25"/>
    </row>
    <row r="427">
      <c r="B427" s="34"/>
      <c r="M427" s="25"/>
    </row>
    <row r="428">
      <c r="B428" s="34"/>
      <c r="M428" s="25"/>
    </row>
    <row r="429">
      <c r="B429" s="34"/>
      <c r="M429" s="25"/>
    </row>
    <row r="430">
      <c r="B430" s="34"/>
      <c r="M430" s="25"/>
    </row>
    <row r="431">
      <c r="B431" s="34"/>
      <c r="M431" s="25"/>
    </row>
    <row r="432">
      <c r="B432" s="34"/>
      <c r="M432" s="25"/>
    </row>
    <row r="433">
      <c r="B433" s="33"/>
      <c r="M433" s="25"/>
    </row>
    <row r="434">
      <c r="B434" s="34"/>
      <c r="M434" s="25"/>
    </row>
    <row r="435">
      <c r="B435" s="34"/>
      <c r="M435" s="25"/>
    </row>
    <row r="436">
      <c r="B436" s="34"/>
      <c r="M436" s="25"/>
    </row>
    <row r="437">
      <c r="B437" s="34"/>
      <c r="M437" s="25"/>
    </row>
    <row r="438">
      <c r="B438" s="34"/>
      <c r="M438" s="25"/>
    </row>
    <row r="439">
      <c r="B439" s="34"/>
      <c r="M439" s="25"/>
    </row>
    <row r="440">
      <c r="B440" s="34"/>
      <c r="M440" s="25"/>
    </row>
    <row r="441">
      <c r="B441" s="34"/>
      <c r="M441" s="25"/>
    </row>
    <row r="442">
      <c r="B442" s="34"/>
      <c r="M442" s="25"/>
    </row>
    <row r="443">
      <c r="B443" s="34"/>
      <c r="M443" s="25"/>
    </row>
    <row r="444">
      <c r="B444" s="34"/>
      <c r="M444" s="25"/>
    </row>
    <row r="445">
      <c r="B445" s="34"/>
      <c r="M445" s="25"/>
    </row>
    <row r="446">
      <c r="B446" s="34"/>
      <c r="M446" s="25"/>
    </row>
    <row r="447">
      <c r="B447" s="34"/>
      <c r="M447" s="25"/>
    </row>
    <row r="448">
      <c r="B448" s="34"/>
      <c r="M448" s="25"/>
    </row>
    <row r="449">
      <c r="B449" s="34"/>
      <c r="M449" s="25"/>
    </row>
    <row r="450">
      <c r="B450" s="34"/>
      <c r="M450" s="25"/>
    </row>
    <row r="451">
      <c r="B451" s="34"/>
      <c r="M451" s="25"/>
    </row>
    <row r="452">
      <c r="B452" s="34"/>
      <c r="M452" s="25"/>
    </row>
    <row r="453">
      <c r="B453" s="34"/>
      <c r="M453" s="25"/>
    </row>
    <row r="454">
      <c r="B454" s="34"/>
      <c r="M454" s="25"/>
    </row>
    <row r="455">
      <c r="B455" s="34"/>
      <c r="M455" s="25"/>
    </row>
    <row r="456">
      <c r="B456" s="34"/>
      <c r="M456" s="25"/>
    </row>
    <row r="457">
      <c r="B457" s="34"/>
      <c r="M457" s="25"/>
    </row>
    <row r="458">
      <c r="B458" s="34"/>
      <c r="M458" s="25"/>
    </row>
    <row r="459">
      <c r="B459" s="34"/>
      <c r="M459" s="25"/>
    </row>
    <row r="460">
      <c r="B460" s="34"/>
      <c r="M460" s="25"/>
    </row>
    <row r="461">
      <c r="B461" s="34"/>
      <c r="M461" s="25"/>
    </row>
    <row r="462">
      <c r="B462" s="34"/>
      <c r="M462" s="25"/>
    </row>
    <row r="463">
      <c r="B463" s="34"/>
      <c r="M463" s="25"/>
    </row>
    <row r="464">
      <c r="B464" s="34"/>
      <c r="M464" s="25"/>
    </row>
    <row r="465">
      <c r="B465" s="34"/>
      <c r="M465" s="25"/>
    </row>
    <row r="466">
      <c r="B466" s="34"/>
      <c r="M466" s="25"/>
    </row>
    <row r="467">
      <c r="B467" s="34"/>
      <c r="M467" s="25"/>
    </row>
    <row r="468">
      <c r="B468" s="34"/>
      <c r="M468" s="25"/>
    </row>
    <row r="469">
      <c r="B469" s="34"/>
      <c r="M469" s="25"/>
    </row>
    <row r="470">
      <c r="B470" s="34"/>
      <c r="M470" s="25"/>
    </row>
    <row r="471">
      <c r="B471" s="34"/>
      <c r="M471" s="25"/>
    </row>
    <row r="472">
      <c r="B472" s="34"/>
      <c r="M472" s="25"/>
    </row>
    <row r="473">
      <c r="B473" s="34"/>
      <c r="M473" s="25"/>
    </row>
    <row r="474">
      <c r="B474" s="34"/>
      <c r="M474" s="25"/>
    </row>
    <row r="475">
      <c r="B475" s="34"/>
      <c r="M475" s="25"/>
    </row>
    <row r="476">
      <c r="B476" s="34"/>
      <c r="M476" s="25"/>
    </row>
    <row r="477">
      <c r="B477" s="34"/>
      <c r="M477" s="25"/>
    </row>
    <row r="478">
      <c r="B478" s="34"/>
      <c r="M478" s="25"/>
    </row>
    <row r="479">
      <c r="B479" s="34"/>
      <c r="M479" s="25"/>
    </row>
    <row r="480">
      <c r="B480" s="34"/>
      <c r="M480" s="25"/>
    </row>
    <row r="481">
      <c r="B481" s="34"/>
      <c r="M481" s="25"/>
    </row>
    <row r="482">
      <c r="B482" s="34"/>
      <c r="M482" s="25"/>
    </row>
    <row r="483">
      <c r="B483" s="34"/>
      <c r="M483" s="25"/>
    </row>
    <row r="484">
      <c r="B484" s="34"/>
      <c r="M484" s="25"/>
    </row>
    <row r="485">
      <c r="B485" s="34"/>
      <c r="M485" s="25"/>
    </row>
    <row r="486">
      <c r="B486" s="34"/>
      <c r="M486" s="25"/>
    </row>
    <row r="487">
      <c r="B487" s="33"/>
      <c r="M487" s="25"/>
    </row>
    <row r="488">
      <c r="B488" s="34"/>
      <c r="M488" s="25"/>
    </row>
    <row r="489">
      <c r="B489" s="34"/>
      <c r="M489" s="25"/>
    </row>
    <row r="490">
      <c r="B490" s="34"/>
      <c r="M490" s="25"/>
    </row>
    <row r="491">
      <c r="B491" s="34"/>
      <c r="M491" s="25"/>
    </row>
    <row r="492">
      <c r="B492" s="34"/>
      <c r="M492" s="25"/>
    </row>
    <row r="493">
      <c r="B493" s="34"/>
      <c r="M493" s="25"/>
    </row>
    <row r="494">
      <c r="B494" s="34"/>
      <c r="M494" s="25"/>
    </row>
    <row r="495">
      <c r="B495" s="34"/>
      <c r="M495" s="25"/>
    </row>
    <row r="496">
      <c r="B496" s="34"/>
      <c r="M496" s="25"/>
    </row>
    <row r="497">
      <c r="B497" s="34"/>
      <c r="M497" s="25"/>
    </row>
    <row r="498">
      <c r="B498" s="34"/>
      <c r="M498" s="25"/>
    </row>
    <row r="499">
      <c r="B499" s="34"/>
      <c r="M499" s="25"/>
    </row>
    <row r="500">
      <c r="B500" s="34"/>
      <c r="M500" s="25"/>
    </row>
    <row r="501">
      <c r="B501" s="34"/>
      <c r="M501" s="25"/>
    </row>
    <row r="502">
      <c r="B502" s="34"/>
      <c r="M502" s="25"/>
    </row>
    <row r="503">
      <c r="B503" s="34"/>
      <c r="M503" s="25"/>
    </row>
    <row r="504">
      <c r="B504" s="34"/>
      <c r="M504" s="25"/>
    </row>
    <row r="505">
      <c r="B505" s="34"/>
      <c r="M505" s="25"/>
    </row>
    <row r="506">
      <c r="B506" s="34"/>
      <c r="M506" s="25"/>
    </row>
    <row r="507">
      <c r="B507" s="34"/>
      <c r="M507" s="25"/>
    </row>
    <row r="508">
      <c r="B508" s="34"/>
      <c r="M508" s="25"/>
    </row>
    <row r="509">
      <c r="B509" s="34"/>
      <c r="M509" s="25"/>
    </row>
    <row r="510">
      <c r="B510" s="34"/>
      <c r="M510" s="25"/>
    </row>
    <row r="511">
      <c r="B511" s="34"/>
      <c r="M511" s="25"/>
    </row>
    <row r="512">
      <c r="B512" s="34"/>
      <c r="M512" s="25"/>
    </row>
    <row r="513">
      <c r="B513" s="34"/>
      <c r="M513" s="25"/>
    </row>
    <row r="514">
      <c r="B514" s="34"/>
      <c r="M514" s="25"/>
    </row>
    <row r="515">
      <c r="B515" s="34"/>
      <c r="M515" s="25"/>
    </row>
    <row r="516">
      <c r="B516" s="34"/>
      <c r="M516" s="25"/>
    </row>
    <row r="517">
      <c r="B517" s="34"/>
      <c r="M517" s="25"/>
    </row>
    <row r="518">
      <c r="B518" s="34"/>
      <c r="M518" s="25"/>
    </row>
    <row r="519">
      <c r="B519" s="34"/>
      <c r="M519" s="25"/>
    </row>
    <row r="520">
      <c r="B520" s="34"/>
      <c r="M520" s="25"/>
    </row>
    <row r="521">
      <c r="B521" s="34"/>
      <c r="M521" s="25"/>
    </row>
    <row r="522">
      <c r="B522" s="34"/>
      <c r="M522" s="25"/>
    </row>
    <row r="523">
      <c r="B523" s="34"/>
      <c r="M523" s="25"/>
    </row>
    <row r="524">
      <c r="B524" s="34"/>
      <c r="M524" s="25"/>
    </row>
    <row r="525">
      <c r="B525" s="34"/>
      <c r="M525" s="25"/>
    </row>
    <row r="526">
      <c r="B526" s="34"/>
      <c r="M526" s="25"/>
    </row>
    <row r="527">
      <c r="B527" s="34"/>
      <c r="M527" s="25"/>
    </row>
    <row r="528">
      <c r="B528" s="34"/>
      <c r="M528" s="25"/>
    </row>
    <row r="529">
      <c r="B529" s="34"/>
      <c r="M529" s="25"/>
    </row>
    <row r="530">
      <c r="B530" s="34"/>
      <c r="M530" s="25"/>
    </row>
    <row r="531">
      <c r="B531" s="34"/>
      <c r="M531" s="25"/>
    </row>
    <row r="532">
      <c r="B532" s="34"/>
      <c r="M532" s="25"/>
    </row>
    <row r="533">
      <c r="B533" s="34"/>
      <c r="M533" s="25"/>
    </row>
    <row r="534">
      <c r="B534" s="34"/>
      <c r="M534" s="25"/>
    </row>
    <row r="535">
      <c r="B535" s="34"/>
      <c r="M535" s="25"/>
    </row>
    <row r="536">
      <c r="B536" s="34"/>
      <c r="M536" s="25"/>
    </row>
    <row r="537">
      <c r="B537" s="34"/>
      <c r="M537" s="25"/>
    </row>
    <row r="538">
      <c r="B538" s="34"/>
      <c r="M538" s="25"/>
    </row>
    <row r="539">
      <c r="B539" s="34"/>
      <c r="M539" s="25"/>
    </row>
    <row r="540">
      <c r="B540" s="34"/>
      <c r="M540" s="25"/>
    </row>
    <row r="541">
      <c r="B541" s="33"/>
      <c r="M541" s="25"/>
    </row>
    <row r="542">
      <c r="B542" s="34"/>
      <c r="M542" s="25"/>
    </row>
    <row r="543">
      <c r="B543" s="34"/>
      <c r="M543" s="25"/>
    </row>
    <row r="544">
      <c r="B544" s="34"/>
      <c r="M544" s="25"/>
    </row>
    <row r="545">
      <c r="B545" s="34"/>
      <c r="M545" s="25"/>
    </row>
    <row r="546">
      <c r="B546" s="34"/>
      <c r="M546" s="25"/>
    </row>
    <row r="547">
      <c r="B547" s="34"/>
      <c r="M547" s="25"/>
    </row>
    <row r="548">
      <c r="B548" s="34"/>
      <c r="M548" s="25"/>
    </row>
    <row r="549">
      <c r="B549" s="34"/>
      <c r="M549" s="25"/>
    </row>
    <row r="550">
      <c r="B550" s="34"/>
      <c r="M550" s="25"/>
    </row>
    <row r="551">
      <c r="B551" s="34"/>
      <c r="M551" s="25"/>
    </row>
    <row r="552">
      <c r="B552" s="34"/>
      <c r="M552" s="25"/>
    </row>
    <row r="553">
      <c r="B553" s="34"/>
      <c r="M553" s="25"/>
    </row>
    <row r="554">
      <c r="B554" s="34"/>
      <c r="M554" s="25"/>
    </row>
    <row r="555">
      <c r="B555" s="34"/>
      <c r="M555" s="25"/>
    </row>
    <row r="556">
      <c r="B556" s="34"/>
      <c r="M556" s="25"/>
    </row>
    <row r="557">
      <c r="B557" s="34"/>
      <c r="M557" s="25"/>
    </row>
    <row r="558">
      <c r="B558" s="34"/>
      <c r="M558" s="25"/>
    </row>
    <row r="559">
      <c r="B559" s="34"/>
      <c r="M559" s="25"/>
    </row>
    <row r="560">
      <c r="B560" s="34"/>
      <c r="M560" s="25"/>
    </row>
    <row r="561">
      <c r="B561" s="34"/>
      <c r="M561" s="25"/>
    </row>
    <row r="562">
      <c r="B562" s="34"/>
      <c r="M562" s="25"/>
    </row>
    <row r="563">
      <c r="B563" s="34"/>
      <c r="M563" s="25"/>
    </row>
    <row r="564">
      <c r="B564" s="34"/>
      <c r="M564" s="25"/>
    </row>
    <row r="565">
      <c r="B565" s="34"/>
      <c r="M565" s="25"/>
    </row>
    <row r="566">
      <c r="B566" s="34"/>
      <c r="M566" s="25"/>
    </row>
    <row r="567">
      <c r="B567" s="34"/>
      <c r="M567" s="25"/>
    </row>
    <row r="568">
      <c r="B568" s="34"/>
      <c r="M568" s="25"/>
    </row>
    <row r="569">
      <c r="B569" s="34"/>
      <c r="M569" s="25"/>
    </row>
    <row r="570">
      <c r="B570" s="34"/>
      <c r="M570" s="25"/>
    </row>
    <row r="571">
      <c r="B571" s="34"/>
      <c r="M571" s="25"/>
    </row>
    <row r="572">
      <c r="B572" s="34"/>
      <c r="M572" s="25"/>
    </row>
    <row r="573">
      <c r="B573" s="34"/>
      <c r="M573" s="25"/>
    </row>
    <row r="574">
      <c r="B574" s="34"/>
      <c r="M574" s="25"/>
    </row>
    <row r="575">
      <c r="B575" s="34"/>
      <c r="M575" s="25"/>
    </row>
    <row r="576">
      <c r="B576" s="34"/>
      <c r="M576" s="25"/>
    </row>
    <row r="577">
      <c r="B577" s="34"/>
      <c r="M577" s="25"/>
    </row>
    <row r="578">
      <c r="B578" s="34"/>
      <c r="M578" s="25"/>
    </row>
    <row r="579">
      <c r="B579" s="34"/>
      <c r="M579" s="25"/>
    </row>
    <row r="580">
      <c r="B580" s="34"/>
      <c r="M580" s="25"/>
    </row>
    <row r="581">
      <c r="B581" s="34"/>
      <c r="M581" s="25"/>
    </row>
    <row r="582">
      <c r="B582" s="34"/>
      <c r="M582" s="25"/>
    </row>
    <row r="583">
      <c r="B583" s="34"/>
      <c r="M583" s="25"/>
    </row>
    <row r="584">
      <c r="B584" s="34"/>
      <c r="M584" s="25"/>
    </row>
    <row r="585">
      <c r="B585" s="34"/>
      <c r="M585" s="25"/>
    </row>
    <row r="586">
      <c r="B586" s="34"/>
      <c r="M586" s="25"/>
    </row>
    <row r="587">
      <c r="B587" s="34"/>
      <c r="M587" s="25"/>
    </row>
    <row r="588">
      <c r="B588" s="34"/>
      <c r="M588" s="25"/>
    </row>
    <row r="589">
      <c r="B589" s="34"/>
      <c r="M589" s="25"/>
    </row>
    <row r="590">
      <c r="B590" s="34"/>
      <c r="M590" s="25"/>
    </row>
    <row r="591">
      <c r="B591" s="34"/>
      <c r="M591" s="25"/>
    </row>
    <row r="592">
      <c r="B592" s="34"/>
      <c r="M592" s="25"/>
    </row>
    <row r="593">
      <c r="B593" s="34"/>
      <c r="M593" s="25"/>
    </row>
    <row r="594">
      <c r="B594" s="34"/>
      <c r="M594" s="25"/>
    </row>
    <row r="595">
      <c r="B595" s="33"/>
      <c r="M595" s="25"/>
    </row>
    <row r="596">
      <c r="B596" s="34"/>
      <c r="M596" s="25"/>
    </row>
    <row r="597">
      <c r="B597" s="34"/>
      <c r="M597" s="25"/>
    </row>
    <row r="598">
      <c r="B598" s="34"/>
      <c r="M598" s="25"/>
    </row>
    <row r="599">
      <c r="B599" s="34"/>
      <c r="M599" s="25"/>
    </row>
    <row r="600">
      <c r="B600" s="34"/>
      <c r="M600" s="25"/>
    </row>
    <row r="601">
      <c r="B601" s="34"/>
      <c r="M601" s="25"/>
    </row>
    <row r="602">
      <c r="B602" s="34"/>
      <c r="M602" s="25"/>
    </row>
    <row r="603">
      <c r="B603" s="34"/>
      <c r="M603" s="25"/>
    </row>
    <row r="604">
      <c r="B604" s="34"/>
      <c r="M604" s="25"/>
    </row>
    <row r="605">
      <c r="B605" s="34"/>
      <c r="M605" s="25"/>
    </row>
    <row r="606">
      <c r="B606" s="34"/>
      <c r="M606" s="25"/>
    </row>
    <row r="607">
      <c r="B607" s="34"/>
      <c r="M607" s="25"/>
    </row>
    <row r="608">
      <c r="B608" s="34"/>
      <c r="M608" s="25"/>
    </row>
    <row r="609">
      <c r="B609" s="34"/>
      <c r="M609" s="25"/>
    </row>
    <row r="610">
      <c r="B610" s="34"/>
      <c r="M610" s="25"/>
    </row>
    <row r="611">
      <c r="B611" s="34"/>
      <c r="M611" s="25"/>
    </row>
    <row r="612">
      <c r="B612" s="34"/>
      <c r="M612" s="25"/>
    </row>
    <row r="613">
      <c r="B613" s="34"/>
      <c r="M613" s="25"/>
    </row>
    <row r="614">
      <c r="B614" s="34"/>
      <c r="M614" s="25"/>
    </row>
    <row r="615">
      <c r="B615" s="34"/>
      <c r="M615" s="25"/>
    </row>
    <row r="616">
      <c r="B616" s="34"/>
      <c r="M616" s="25"/>
    </row>
    <row r="617">
      <c r="B617" s="34"/>
      <c r="M617" s="25"/>
    </row>
    <row r="618">
      <c r="B618" s="34"/>
      <c r="M618" s="25"/>
    </row>
    <row r="619">
      <c r="B619" s="34"/>
      <c r="M619" s="25"/>
    </row>
    <row r="620">
      <c r="B620" s="34"/>
      <c r="M620" s="25"/>
    </row>
    <row r="621">
      <c r="B621" s="34"/>
      <c r="M621" s="25"/>
    </row>
    <row r="622">
      <c r="B622" s="34"/>
      <c r="M622" s="25"/>
    </row>
    <row r="623">
      <c r="B623" s="34"/>
      <c r="M623" s="25"/>
    </row>
    <row r="624">
      <c r="B624" s="34"/>
      <c r="M624" s="25"/>
    </row>
    <row r="625">
      <c r="B625" s="34"/>
      <c r="M625" s="25"/>
    </row>
    <row r="626">
      <c r="B626" s="34"/>
      <c r="M626" s="25"/>
    </row>
    <row r="627">
      <c r="B627" s="34"/>
      <c r="M627" s="25"/>
    </row>
    <row r="628">
      <c r="B628" s="34"/>
      <c r="M628" s="25"/>
    </row>
    <row r="629">
      <c r="B629" s="34"/>
      <c r="M629" s="25"/>
    </row>
    <row r="630">
      <c r="B630" s="34"/>
      <c r="M630" s="25"/>
    </row>
    <row r="631">
      <c r="B631" s="34"/>
      <c r="M631" s="25"/>
    </row>
    <row r="632">
      <c r="B632" s="34"/>
      <c r="M632" s="25"/>
    </row>
    <row r="633">
      <c r="B633" s="34"/>
      <c r="M633" s="25"/>
    </row>
    <row r="634">
      <c r="B634" s="34"/>
      <c r="M634" s="25"/>
    </row>
    <row r="635">
      <c r="B635" s="34"/>
      <c r="M635" s="25"/>
    </row>
    <row r="636">
      <c r="B636" s="34"/>
      <c r="M636" s="25"/>
    </row>
    <row r="637">
      <c r="B637" s="34"/>
      <c r="M637" s="25"/>
    </row>
    <row r="638">
      <c r="B638" s="34"/>
      <c r="M638" s="25"/>
    </row>
    <row r="639">
      <c r="B639" s="34"/>
      <c r="M639" s="25"/>
    </row>
    <row r="640">
      <c r="B640" s="34"/>
      <c r="M640" s="25"/>
    </row>
    <row r="641">
      <c r="B641" s="34"/>
      <c r="M641" s="25"/>
    </row>
    <row r="642">
      <c r="B642" s="34"/>
      <c r="M642" s="25"/>
    </row>
    <row r="643">
      <c r="B643" s="34"/>
      <c r="M643" s="25"/>
    </row>
    <row r="644">
      <c r="B644" s="34"/>
      <c r="M644" s="25"/>
    </row>
    <row r="645">
      <c r="B645" s="34"/>
      <c r="M645" s="25"/>
    </row>
    <row r="646">
      <c r="B646" s="34"/>
      <c r="M646" s="25"/>
    </row>
    <row r="647">
      <c r="B647" s="34"/>
      <c r="M647" s="25"/>
    </row>
    <row r="648">
      <c r="B648" s="34"/>
      <c r="M648" s="25"/>
    </row>
    <row r="649">
      <c r="B649" s="33"/>
      <c r="M649" s="25"/>
    </row>
    <row r="650">
      <c r="B650" s="34"/>
      <c r="M650" s="25"/>
    </row>
    <row r="651">
      <c r="B651" s="34"/>
      <c r="M651" s="25"/>
    </row>
    <row r="652">
      <c r="B652" s="34"/>
      <c r="M652" s="25"/>
    </row>
    <row r="653">
      <c r="B653" s="34"/>
      <c r="M653" s="25"/>
    </row>
    <row r="654">
      <c r="B654" s="34"/>
      <c r="M654" s="25"/>
    </row>
    <row r="655">
      <c r="B655" s="34"/>
      <c r="M655" s="25"/>
    </row>
    <row r="656">
      <c r="B656" s="34"/>
      <c r="M656" s="25"/>
    </row>
    <row r="657">
      <c r="B657" s="34"/>
      <c r="M657" s="25"/>
    </row>
    <row r="658">
      <c r="B658" s="34"/>
      <c r="M658" s="25"/>
    </row>
    <row r="659">
      <c r="B659" s="34"/>
      <c r="M659" s="25"/>
    </row>
    <row r="660">
      <c r="B660" s="34"/>
      <c r="M660" s="25"/>
    </row>
    <row r="661">
      <c r="B661" s="34"/>
      <c r="M661" s="25"/>
    </row>
    <row r="662">
      <c r="B662" s="34"/>
      <c r="M662" s="25"/>
    </row>
    <row r="663">
      <c r="B663" s="34"/>
      <c r="M663" s="25"/>
    </row>
    <row r="664">
      <c r="B664" s="34"/>
      <c r="M664" s="25"/>
    </row>
    <row r="665">
      <c r="B665" s="34"/>
      <c r="M665" s="25"/>
    </row>
    <row r="666">
      <c r="B666" s="34"/>
      <c r="M666" s="25"/>
    </row>
    <row r="667">
      <c r="B667" s="34"/>
      <c r="M667" s="25"/>
    </row>
    <row r="668">
      <c r="B668" s="34"/>
      <c r="M668" s="25"/>
    </row>
    <row r="669">
      <c r="B669" s="34"/>
      <c r="M669" s="25"/>
    </row>
    <row r="670">
      <c r="B670" s="34"/>
      <c r="M670" s="25"/>
    </row>
    <row r="671">
      <c r="B671" s="34"/>
      <c r="M671" s="25"/>
    </row>
    <row r="672">
      <c r="B672" s="34"/>
      <c r="M672" s="25"/>
    </row>
    <row r="673">
      <c r="B673" s="34"/>
      <c r="M673" s="25"/>
    </row>
    <row r="674">
      <c r="B674" s="34"/>
      <c r="M674" s="25"/>
    </row>
    <row r="675">
      <c r="B675" s="34"/>
      <c r="M675" s="25"/>
    </row>
    <row r="676">
      <c r="B676" s="34"/>
      <c r="M676" s="25"/>
    </row>
    <row r="677">
      <c r="B677" s="34"/>
      <c r="M677" s="25"/>
    </row>
    <row r="678">
      <c r="B678" s="34"/>
      <c r="M678" s="25"/>
    </row>
    <row r="679">
      <c r="B679" s="34"/>
      <c r="M679" s="25"/>
    </row>
    <row r="680">
      <c r="B680" s="34"/>
      <c r="M680" s="25"/>
    </row>
    <row r="681">
      <c r="B681" s="34"/>
      <c r="M681" s="25"/>
    </row>
    <row r="682">
      <c r="B682" s="34"/>
      <c r="M682" s="25"/>
    </row>
    <row r="683">
      <c r="B683" s="34"/>
      <c r="M683" s="25"/>
    </row>
    <row r="684">
      <c r="B684" s="34"/>
      <c r="M684" s="25"/>
    </row>
    <row r="685">
      <c r="B685" s="34"/>
      <c r="M685" s="25"/>
    </row>
    <row r="686">
      <c r="B686" s="34"/>
      <c r="M686" s="25"/>
    </row>
    <row r="687">
      <c r="B687" s="34"/>
      <c r="M687" s="25"/>
    </row>
    <row r="688">
      <c r="B688" s="34"/>
      <c r="M688" s="25"/>
    </row>
    <row r="689">
      <c r="B689" s="34"/>
      <c r="M689" s="25"/>
    </row>
    <row r="690">
      <c r="B690" s="34"/>
      <c r="M690" s="25"/>
    </row>
    <row r="691">
      <c r="B691" s="34"/>
      <c r="M691" s="25"/>
    </row>
    <row r="692">
      <c r="B692" s="34"/>
      <c r="M692" s="25"/>
    </row>
    <row r="693">
      <c r="B693" s="34"/>
      <c r="M693" s="25"/>
    </row>
    <row r="694">
      <c r="B694" s="34"/>
      <c r="M694" s="25"/>
    </row>
    <row r="695">
      <c r="B695" s="34"/>
      <c r="M695" s="25"/>
    </row>
    <row r="696">
      <c r="B696" s="34"/>
      <c r="M696" s="25"/>
    </row>
    <row r="697">
      <c r="B697" s="34"/>
      <c r="M697" s="25"/>
    </row>
    <row r="698">
      <c r="B698" s="34"/>
      <c r="M698" s="25"/>
    </row>
    <row r="699">
      <c r="B699" s="34"/>
      <c r="M699" s="25"/>
    </row>
    <row r="700">
      <c r="B700" s="34"/>
      <c r="M700" s="25"/>
    </row>
    <row r="701">
      <c r="B701" s="34"/>
      <c r="M701" s="25"/>
    </row>
    <row r="702">
      <c r="B702" s="34"/>
      <c r="M702" s="25"/>
    </row>
    <row r="703">
      <c r="B703" s="33"/>
      <c r="M703" s="25"/>
    </row>
    <row r="704">
      <c r="B704" s="34"/>
      <c r="M704" s="25"/>
    </row>
    <row r="705">
      <c r="B705" s="34"/>
      <c r="M705" s="25"/>
    </row>
    <row r="706">
      <c r="B706" s="34"/>
      <c r="M706" s="25"/>
    </row>
    <row r="707">
      <c r="B707" s="34"/>
      <c r="M707" s="25"/>
    </row>
    <row r="708">
      <c r="B708" s="34"/>
      <c r="M708" s="25"/>
    </row>
    <row r="709">
      <c r="B709" s="34"/>
      <c r="M709" s="25"/>
    </row>
    <row r="710">
      <c r="B710" s="34"/>
      <c r="M710" s="25"/>
    </row>
    <row r="711">
      <c r="B711" s="34"/>
      <c r="M711" s="25"/>
    </row>
    <row r="712">
      <c r="B712" s="34"/>
      <c r="M712" s="25"/>
    </row>
    <row r="713">
      <c r="B713" s="34"/>
      <c r="M713" s="25"/>
    </row>
    <row r="714">
      <c r="B714" s="34"/>
      <c r="M714" s="25"/>
    </row>
    <row r="715">
      <c r="B715" s="34"/>
      <c r="M715" s="25"/>
    </row>
    <row r="716">
      <c r="B716" s="34"/>
      <c r="M716" s="25"/>
    </row>
    <row r="717">
      <c r="B717" s="34"/>
      <c r="M717" s="25"/>
    </row>
    <row r="718">
      <c r="B718" s="34"/>
      <c r="M718" s="25"/>
    </row>
    <row r="719">
      <c r="B719" s="34"/>
      <c r="M719" s="25"/>
    </row>
    <row r="720">
      <c r="B720" s="34"/>
      <c r="M720" s="25"/>
    </row>
    <row r="721">
      <c r="B721" s="34"/>
      <c r="M721" s="25"/>
    </row>
    <row r="722">
      <c r="B722" s="34"/>
      <c r="M722" s="25"/>
    </row>
    <row r="723">
      <c r="B723" s="34"/>
      <c r="M723" s="25"/>
    </row>
    <row r="724">
      <c r="B724" s="34"/>
      <c r="M724" s="25"/>
    </row>
    <row r="725">
      <c r="B725" s="34"/>
      <c r="M725" s="25"/>
    </row>
    <row r="726">
      <c r="B726" s="34"/>
      <c r="M726" s="25"/>
    </row>
    <row r="727">
      <c r="B727" s="34"/>
      <c r="M727" s="25"/>
    </row>
    <row r="728">
      <c r="B728" s="34"/>
      <c r="M728" s="25"/>
    </row>
    <row r="729">
      <c r="B729" s="34"/>
      <c r="M729" s="25"/>
    </row>
    <row r="730">
      <c r="B730" s="34"/>
      <c r="M730" s="25"/>
    </row>
    <row r="731">
      <c r="B731" s="34"/>
      <c r="M731" s="25"/>
    </row>
    <row r="732">
      <c r="B732" s="34"/>
      <c r="M732" s="25"/>
    </row>
    <row r="733">
      <c r="B733" s="34"/>
      <c r="M733" s="25"/>
    </row>
    <row r="734">
      <c r="B734" s="34"/>
      <c r="M734" s="25"/>
    </row>
    <row r="735">
      <c r="B735" s="34"/>
      <c r="M735" s="25"/>
    </row>
    <row r="736">
      <c r="B736" s="34"/>
      <c r="M736" s="25"/>
    </row>
    <row r="737">
      <c r="B737" s="34"/>
      <c r="M737" s="25"/>
    </row>
    <row r="738">
      <c r="B738" s="34"/>
      <c r="M738" s="25"/>
    </row>
    <row r="739">
      <c r="B739" s="34"/>
      <c r="M739" s="25"/>
    </row>
    <row r="740">
      <c r="B740" s="34"/>
      <c r="M740" s="25"/>
    </row>
    <row r="741">
      <c r="B741" s="34"/>
      <c r="M741" s="25"/>
    </row>
    <row r="742">
      <c r="B742" s="34"/>
      <c r="M742" s="25"/>
    </row>
    <row r="743">
      <c r="B743" s="34"/>
      <c r="M743" s="25"/>
    </row>
    <row r="744">
      <c r="B744" s="34"/>
      <c r="M744" s="25"/>
    </row>
    <row r="745">
      <c r="B745" s="34"/>
      <c r="M745" s="25"/>
    </row>
    <row r="746">
      <c r="B746" s="34"/>
      <c r="M746" s="25"/>
    </row>
    <row r="747">
      <c r="B747" s="34"/>
      <c r="M747" s="25"/>
    </row>
    <row r="748">
      <c r="B748" s="34"/>
      <c r="M748" s="25"/>
    </row>
    <row r="749">
      <c r="B749" s="34"/>
      <c r="M749" s="25"/>
    </row>
    <row r="750">
      <c r="B750" s="34"/>
      <c r="M750" s="25"/>
    </row>
    <row r="751">
      <c r="B751" s="34"/>
      <c r="M751" s="25"/>
    </row>
    <row r="752">
      <c r="B752" s="34"/>
      <c r="M752" s="25"/>
    </row>
    <row r="753">
      <c r="B753" s="34"/>
      <c r="M753" s="25"/>
    </row>
    <row r="754">
      <c r="B754" s="34"/>
      <c r="M754" s="25"/>
    </row>
    <row r="755">
      <c r="B755" s="34"/>
      <c r="M755" s="25"/>
    </row>
    <row r="756">
      <c r="B756" s="34"/>
      <c r="M756" s="25"/>
    </row>
    <row r="757">
      <c r="B757" s="33"/>
      <c r="M757" s="25"/>
    </row>
    <row r="758">
      <c r="B758" s="34"/>
      <c r="M758" s="25"/>
    </row>
    <row r="759">
      <c r="B759" s="34"/>
      <c r="M759" s="25"/>
    </row>
    <row r="760">
      <c r="B760" s="34"/>
      <c r="M760" s="25"/>
    </row>
    <row r="761">
      <c r="B761" s="34"/>
      <c r="M761" s="25"/>
    </row>
    <row r="762">
      <c r="B762" s="34"/>
      <c r="M762" s="25"/>
    </row>
    <row r="763">
      <c r="B763" s="34"/>
      <c r="M763" s="25"/>
    </row>
    <row r="764">
      <c r="B764" s="34"/>
      <c r="M764" s="25"/>
    </row>
    <row r="765">
      <c r="B765" s="34"/>
      <c r="M765" s="25"/>
    </row>
    <row r="766">
      <c r="B766" s="34"/>
      <c r="M766" s="25"/>
    </row>
    <row r="767">
      <c r="B767" s="34"/>
      <c r="M767" s="25"/>
    </row>
    <row r="768">
      <c r="B768" s="34"/>
      <c r="M768" s="25"/>
    </row>
    <row r="769">
      <c r="B769" s="34"/>
      <c r="M769" s="25"/>
    </row>
    <row r="770">
      <c r="B770" s="34"/>
      <c r="M770" s="25"/>
    </row>
    <row r="771">
      <c r="B771" s="34"/>
      <c r="M771" s="25"/>
    </row>
    <row r="772">
      <c r="B772" s="34"/>
      <c r="M772" s="25"/>
    </row>
    <row r="773">
      <c r="B773" s="34"/>
      <c r="M773" s="25"/>
    </row>
    <row r="774">
      <c r="B774" s="34"/>
      <c r="M774" s="25"/>
    </row>
    <row r="775">
      <c r="B775" s="34"/>
      <c r="M775" s="25"/>
    </row>
    <row r="776">
      <c r="B776" s="34"/>
      <c r="M776" s="25"/>
    </row>
    <row r="777">
      <c r="B777" s="34"/>
      <c r="M777" s="25"/>
    </row>
    <row r="778">
      <c r="B778" s="34"/>
      <c r="M778" s="25"/>
    </row>
    <row r="779">
      <c r="B779" s="34"/>
      <c r="M779" s="25"/>
    </row>
    <row r="780">
      <c r="B780" s="34"/>
      <c r="M780" s="25"/>
    </row>
    <row r="781">
      <c r="B781" s="34"/>
      <c r="M781" s="25"/>
    </row>
    <row r="782">
      <c r="B782" s="34"/>
      <c r="M782" s="25"/>
    </row>
    <row r="783">
      <c r="B783" s="34"/>
      <c r="M783" s="25"/>
    </row>
    <row r="784">
      <c r="B784" s="34"/>
      <c r="M784" s="25"/>
    </row>
    <row r="785">
      <c r="B785" s="34"/>
      <c r="M785" s="25"/>
    </row>
    <row r="786">
      <c r="B786" s="34"/>
      <c r="M786" s="25"/>
    </row>
    <row r="787">
      <c r="B787" s="34"/>
      <c r="M787" s="25"/>
    </row>
    <row r="788">
      <c r="B788" s="34"/>
      <c r="M788" s="25"/>
    </row>
    <row r="789">
      <c r="B789" s="34"/>
      <c r="M789" s="25"/>
    </row>
    <row r="790">
      <c r="B790" s="34"/>
      <c r="M790" s="25"/>
    </row>
    <row r="791">
      <c r="B791" s="34"/>
      <c r="M791" s="25"/>
    </row>
    <row r="792">
      <c r="B792" s="34"/>
      <c r="M792" s="25"/>
    </row>
    <row r="793">
      <c r="B793" s="34"/>
      <c r="M793" s="25"/>
    </row>
    <row r="794">
      <c r="B794" s="34"/>
      <c r="M794" s="25"/>
    </row>
    <row r="795">
      <c r="B795" s="34"/>
      <c r="M795" s="25"/>
    </row>
    <row r="796">
      <c r="B796" s="34"/>
      <c r="M796" s="25"/>
    </row>
    <row r="797">
      <c r="B797" s="34"/>
      <c r="M797" s="25"/>
    </row>
    <row r="798">
      <c r="B798" s="34"/>
      <c r="M798" s="25"/>
    </row>
    <row r="799">
      <c r="B799" s="34"/>
      <c r="M799" s="25"/>
    </row>
    <row r="800">
      <c r="B800" s="34"/>
      <c r="M800" s="25"/>
    </row>
    <row r="801">
      <c r="B801" s="34"/>
      <c r="M801" s="25"/>
    </row>
    <row r="802">
      <c r="B802" s="34"/>
      <c r="M802" s="25"/>
    </row>
    <row r="803">
      <c r="B803" s="34"/>
      <c r="M803" s="25"/>
    </row>
    <row r="804">
      <c r="B804" s="34"/>
      <c r="M804" s="25"/>
    </row>
    <row r="805">
      <c r="B805" s="34"/>
      <c r="M805" s="25"/>
    </row>
    <row r="806">
      <c r="B806" s="34"/>
      <c r="M806" s="25"/>
    </row>
    <row r="807">
      <c r="B807" s="34"/>
      <c r="M807" s="25"/>
    </row>
    <row r="808">
      <c r="B808" s="34"/>
      <c r="M808" s="25"/>
    </row>
    <row r="809">
      <c r="B809" s="34"/>
      <c r="M809" s="25"/>
    </row>
    <row r="810">
      <c r="B810" s="34"/>
      <c r="M810" s="25"/>
    </row>
    <row r="811">
      <c r="B811" s="33"/>
      <c r="M811" s="25"/>
    </row>
    <row r="812">
      <c r="B812" s="34"/>
      <c r="M812" s="25"/>
    </row>
    <row r="813">
      <c r="B813" s="34"/>
      <c r="M813" s="25"/>
    </row>
    <row r="814">
      <c r="B814" s="34"/>
      <c r="M814" s="25"/>
    </row>
    <row r="815">
      <c r="B815" s="34"/>
      <c r="M815" s="25"/>
    </row>
    <row r="816">
      <c r="B816" s="34"/>
      <c r="M816" s="25"/>
    </row>
    <row r="817">
      <c r="B817" s="34"/>
      <c r="M817" s="25"/>
    </row>
    <row r="818">
      <c r="B818" s="34"/>
      <c r="M818" s="25"/>
    </row>
    <row r="819">
      <c r="B819" s="34"/>
      <c r="M819" s="25"/>
    </row>
    <row r="820">
      <c r="B820" s="34"/>
      <c r="M820" s="25"/>
    </row>
    <row r="821">
      <c r="B821" s="34"/>
      <c r="M821" s="25"/>
    </row>
    <row r="822">
      <c r="B822" s="34"/>
      <c r="M822" s="25"/>
    </row>
    <row r="823">
      <c r="B823" s="34"/>
      <c r="M823" s="25"/>
    </row>
    <row r="824">
      <c r="B824" s="34"/>
      <c r="M824" s="25"/>
    </row>
    <row r="825">
      <c r="B825" s="34"/>
      <c r="M825" s="25"/>
    </row>
    <row r="826">
      <c r="B826" s="34"/>
      <c r="M826" s="25"/>
    </row>
    <row r="827">
      <c r="B827" s="34"/>
      <c r="M827" s="25"/>
    </row>
    <row r="828">
      <c r="B828" s="34"/>
      <c r="M828" s="25"/>
    </row>
    <row r="829">
      <c r="B829" s="34"/>
      <c r="M829" s="25"/>
    </row>
    <row r="830">
      <c r="B830" s="34"/>
      <c r="M830" s="25"/>
    </row>
    <row r="831">
      <c r="B831" s="34"/>
      <c r="M831" s="25"/>
    </row>
    <row r="832">
      <c r="B832" s="34"/>
      <c r="M832" s="25"/>
    </row>
    <row r="833">
      <c r="B833" s="34"/>
      <c r="M833" s="25"/>
    </row>
    <row r="834">
      <c r="B834" s="34"/>
      <c r="M834" s="25"/>
    </row>
    <row r="835">
      <c r="B835" s="34"/>
      <c r="M835" s="25"/>
    </row>
    <row r="836">
      <c r="B836" s="34"/>
      <c r="M836" s="25"/>
    </row>
    <row r="837">
      <c r="B837" s="34"/>
      <c r="M837" s="25"/>
    </row>
    <row r="838">
      <c r="B838" s="34"/>
      <c r="M838" s="25"/>
    </row>
    <row r="839">
      <c r="B839" s="34"/>
      <c r="M839" s="25"/>
    </row>
    <row r="840">
      <c r="B840" s="34"/>
      <c r="M840" s="25"/>
    </row>
    <row r="841">
      <c r="B841" s="34"/>
      <c r="M841" s="25"/>
    </row>
    <row r="842">
      <c r="B842" s="34"/>
      <c r="M842" s="25"/>
    </row>
    <row r="843">
      <c r="B843" s="34"/>
      <c r="M843" s="25"/>
    </row>
    <row r="844">
      <c r="B844" s="34"/>
      <c r="M844" s="25"/>
    </row>
    <row r="845">
      <c r="B845" s="34"/>
      <c r="M845" s="25"/>
    </row>
    <row r="846">
      <c r="B846" s="34"/>
      <c r="M846" s="25"/>
    </row>
    <row r="847">
      <c r="B847" s="34"/>
      <c r="M847" s="25"/>
    </row>
    <row r="848">
      <c r="B848" s="34"/>
      <c r="M848" s="25"/>
    </row>
    <row r="849">
      <c r="B849" s="34"/>
      <c r="M849" s="25"/>
    </row>
    <row r="850">
      <c r="B850" s="34"/>
      <c r="M850" s="25"/>
    </row>
    <row r="851">
      <c r="B851" s="34"/>
      <c r="M851" s="25"/>
    </row>
    <row r="852">
      <c r="B852" s="34"/>
      <c r="M852" s="25"/>
    </row>
    <row r="853">
      <c r="B853" s="34"/>
      <c r="M853" s="25"/>
    </row>
    <row r="854">
      <c r="B854" s="34"/>
      <c r="M854" s="25"/>
    </row>
    <row r="855">
      <c r="B855" s="34"/>
      <c r="M855" s="25"/>
    </row>
    <row r="856">
      <c r="B856" s="34"/>
      <c r="M856" s="25"/>
    </row>
    <row r="857">
      <c r="B857" s="34"/>
      <c r="M857" s="25"/>
    </row>
    <row r="858">
      <c r="B858" s="34"/>
      <c r="M858" s="25"/>
    </row>
    <row r="859">
      <c r="B859" s="34"/>
      <c r="M859" s="25"/>
    </row>
    <row r="860">
      <c r="B860" s="34"/>
      <c r="M860" s="25"/>
    </row>
    <row r="861">
      <c r="B861" s="34"/>
      <c r="M861" s="25"/>
    </row>
    <row r="862">
      <c r="B862" s="34"/>
      <c r="M862" s="25"/>
    </row>
    <row r="863">
      <c r="B863" s="34"/>
      <c r="M863" s="25"/>
    </row>
    <row r="864">
      <c r="B864" s="34"/>
      <c r="M864" s="25"/>
    </row>
    <row r="865">
      <c r="B865" s="33"/>
      <c r="M865" s="25"/>
    </row>
    <row r="866">
      <c r="B866" s="34"/>
      <c r="M866" s="25"/>
    </row>
    <row r="867">
      <c r="B867" s="34"/>
      <c r="M867" s="25"/>
    </row>
    <row r="868">
      <c r="B868" s="34"/>
      <c r="M868" s="25"/>
    </row>
    <row r="869">
      <c r="B869" s="34"/>
      <c r="M869" s="25"/>
    </row>
    <row r="870">
      <c r="B870" s="34"/>
      <c r="M870" s="25"/>
    </row>
    <row r="871">
      <c r="B871" s="34"/>
      <c r="M871" s="25"/>
    </row>
    <row r="872">
      <c r="B872" s="34"/>
      <c r="M872" s="25"/>
    </row>
    <row r="873">
      <c r="B873" s="34"/>
      <c r="M873" s="25"/>
    </row>
    <row r="874">
      <c r="B874" s="34"/>
      <c r="M874" s="25"/>
    </row>
    <row r="875">
      <c r="B875" s="34"/>
      <c r="M875" s="25"/>
    </row>
    <row r="876">
      <c r="B876" s="34"/>
      <c r="M876" s="25"/>
    </row>
    <row r="877">
      <c r="B877" s="34"/>
      <c r="M877" s="25"/>
    </row>
    <row r="878">
      <c r="B878" s="34"/>
      <c r="M878" s="25"/>
    </row>
    <row r="879">
      <c r="B879" s="34"/>
      <c r="M879" s="25"/>
    </row>
    <row r="880">
      <c r="B880" s="34"/>
      <c r="M880" s="25"/>
    </row>
    <row r="881">
      <c r="B881" s="34"/>
      <c r="M881" s="25"/>
    </row>
    <row r="882">
      <c r="B882" s="34"/>
      <c r="M882" s="25"/>
    </row>
    <row r="883">
      <c r="B883" s="34"/>
      <c r="M883" s="25"/>
    </row>
    <row r="884">
      <c r="B884" s="34"/>
      <c r="M884" s="25"/>
    </row>
    <row r="885">
      <c r="B885" s="34"/>
      <c r="M885" s="25"/>
    </row>
    <row r="886">
      <c r="B886" s="34"/>
      <c r="M886" s="25"/>
    </row>
    <row r="887">
      <c r="B887" s="34"/>
      <c r="M887" s="25"/>
    </row>
    <row r="888">
      <c r="B888" s="34"/>
      <c r="M888" s="25"/>
    </row>
    <row r="889">
      <c r="B889" s="34"/>
      <c r="M889" s="25"/>
    </row>
    <row r="890">
      <c r="B890" s="34"/>
      <c r="M890" s="25"/>
    </row>
    <row r="891">
      <c r="B891" s="34"/>
      <c r="M891" s="25"/>
    </row>
    <row r="892">
      <c r="B892" s="34"/>
      <c r="M892" s="25"/>
    </row>
    <row r="893">
      <c r="B893" s="34"/>
      <c r="M893" s="25"/>
    </row>
    <row r="894">
      <c r="B894" s="34"/>
      <c r="M894" s="25"/>
    </row>
    <row r="895">
      <c r="B895" s="34"/>
      <c r="M895" s="25"/>
    </row>
    <row r="896">
      <c r="B896" s="34"/>
      <c r="M896" s="25"/>
    </row>
    <row r="897">
      <c r="B897" s="34"/>
      <c r="M897" s="25"/>
    </row>
    <row r="898">
      <c r="B898" s="34"/>
      <c r="M898" s="25"/>
    </row>
    <row r="899">
      <c r="B899" s="34"/>
      <c r="M899" s="25"/>
    </row>
    <row r="900">
      <c r="B900" s="34"/>
      <c r="M900" s="25"/>
    </row>
    <row r="901">
      <c r="B901" s="34"/>
      <c r="M901" s="25"/>
    </row>
    <row r="902">
      <c r="B902" s="34"/>
      <c r="M902" s="25"/>
    </row>
    <row r="903">
      <c r="B903" s="34"/>
      <c r="M903" s="25"/>
    </row>
    <row r="904">
      <c r="B904" s="34"/>
      <c r="M904" s="25"/>
    </row>
    <row r="905">
      <c r="B905" s="34"/>
      <c r="M905" s="25"/>
    </row>
    <row r="906">
      <c r="B906" s="34"/>
      <c r="M906" s="25"/>
    </row>
    <row r="907">
      <c r="B907" s="34"/>
      <c r="M907" s="25"/>
    </row>
    <row r="908">
      <c r="B908" s="34"/>
      <c r="M908" s="25"/>
    </row>
    <row r="909">
      <c r="B909" s="34"/>
      <c r="M909" s="25"/>
    </row>
    <row r="910">
      <c r="B910" s="34"/>
      <c r="M910" s="25"/>
    </row>
    <row r="911">
      <c r="B911" s="34"/>
      <c r="M911" s="25"/>
    </row>
    <row r="912">
      <c r="B912" s="34"/>
      <c r="M912" s="25"/>
    </row>
    <row r="913">
      <c r="B913" s="34"/>
      <c r="M913" s="25"/>
    </row>
    <row r="914">
      <c r="B914" s="34"/>
      <c r="M914" s="25"/>
    </row>
    <row r="915">
      <c r="B915" s="34"/>
      <c r="M915" s="25"/>
    </row>
    <row r="916">
      <c r="B916" s="34"/>
      <c r="M916" s="25"/>
    </row>
    <row r="917">
      <c r="B917" s="34"/>
      <c r="M917" s="25"/>
    </row>
    <row r="918">
      <c r="B918" s="34"/>
      <c r="M918" s="25"/>
    </row>
    <row r="919">
      <c r="B919" s="33"/>
      <c r="M919" s="25"/>
    </row>
    <row r="920">
      <c r="B920" s="34"/>
      <c r="M920" s="25"/>
    </row>
    <row r="921">
      <c r="B921" s="34"/>
      <c r="M921" s="25"/>
    </row>
    <row r="922">
      <c r="B922" s="34"/>
      <c r="M922" s="25"/>
    </row>
    <row r="923">
      <c r="B923" s="34"/>
      <c r="M923" s="25"/>
    </row>
    <row r="924">
      <c r="B924" s="34"/>
      <c r="M924" s="25"/>
    </row>
    <row r="925">
      <c r="B925" s="34"/>
      <c r="M925" s="25"/>
    </row>
    <row r="926">
      <c r="B926" s="34"/>
      <c r="M926" s="25"/>
    </row>
    <row r="927">
      <c r="B927" s="34"/>
      <c r="M927" s="25"/>
    </row>
    <row r="928">
      <c r="B928" s="34"/>
      <c r="M928" s="25"/>
    </row>
    <row r="929">
      <c r="B929" s="34"/>
      <c r="M929" s="25"/>
    </row>
    <row r="930">
      <c r="B930" s="34"/>
      <c r="M930" s="25"/>
    </row>
    <row r="931">
      <c r="B931" s="34"/>
      <c r="M931" s="25"/>
    </row>
    <row r="932">
      <c r="B932" s="34"/>
      <c r="M932" s="25"/>
    </row>
    <row r="933">
      <c r="B933" s="34"/>
      <c r="M933" s="25"/>
    </row>
    <row r="934">
      <c r="B934" s="34"/>
      <c r="M934" s="25"/>
    </row>
    <row r="935">
      <c r="B935" s="34"/>
      <c r="M935" s="25"/>
    </row>
    <row r="936">
      <c r="B936" s="34"/>
      <c r="M936" s="25"/>
    </row>
    <row r="937">
      <c r="B937" s="34"/>
      <c r="M937" s="25"/>
    </row>
    <row r="938">
      <c r="B938" s="34"/>
      <c r="M938" s="25"/>
    </row>
    <row r="939">
      <c r="B939" s="34"/>
      <c r="M939" s="25"/>
    </row>
    <row r="940">
      <c r="B940" s="34"/>
      <c r="M940" s="25"/>
    </row>
    <row r="941">
      <c r="B941" s="34"/>
      <c r="M941" s="25"/>
    </row>
    <row r="942">
      <c r="B942" s="34"/>
      <c r="M942" s="25"/>
    </row>
    <row r="943">
      <c r="B943" s="34"/>
      <c r="M943" s="25"/>
    </row>
    <row r="944">
      <c r="B944" s="34"/>
      <c r="M944" s="25"/>
    </row>
    <row r="945">
      <c r="B945" s="34"/>
      <c r="M945" s="25"/>
    </row>
    <row r="946">
      <c r="B946" s="34"/>
      <c r="M946" s="25"/>
    </row>
    <row r="947">
      <c r="B947" s="34"/>
      <c r="M947" s="25"/>
    </row>
    <row r="948">
      <c r="B948" s="34"/>
      <c r="M948" s="25"/>
    </row>
    <row r="949">
      <c r="B949" s="34"/>
      <c r="M949" s="25"/>
    </row>
    <row r="950">
      <c r="B950" s="34"/>
      <c r="M950" s="25"/>
    </row>
    <row r="951">
      <c r="B951" s="34"/>
      <c r="M951" s="25"/>
    </row>
    <row r="952">
      <c r="B952" s="34"/>
      <c r="M952" s="25"/>
    </row>
    <row r="953">
      <c r="B953" s="34"/>
      <c r="M953" s="25"/>
    </row>
    <row r="954">
      <c r="B954" s="34"/>
      <c r="M954" s="25"/>
    </row>
    <row r="955">
      <c r="B955" s="34"/>
      <c r="M955" s="25"/>
    </row>
    <row r="956">
      <c r="B956" s="34"/>
      <c r="M956" s="25"/>
    </row>
    <row r="957">
      <c r="B957" s="34"/>
      <c r="M957" s="25"/>
    </row>
    <row r="958">
      <c r="B958" s="34"/>
      <c r="M958" s="25"/>
    </row>
    <row r="959">
      <c r="B959" s="34"/>
      <c r="M959" s="25"/>
    </row>
    <row r="960">
      <c r="B960" s="34"/>
      <c r="M960" s="25"/>
    </row>
    <row r="961">
      <c r="B961" s="34"/>
      <c r="M961" s="25"/>
    </row>
    <row r="962">
      <c r="B962" s="34"/>
      <c r="M962" s="25"/>
    </row>
    <row r="963">
      <c r="B963" s="34"/>
      <c r="M963" s="25"/>
    </row>
    <row r="964">
      <c r="B964" s="34"/>
      <c r="M964" s="25"/>
    </row>
    <row r="965">
      <c r="B965" s="34"/>
      <c r="M965" s="25"/>
    </row>
    <row r="966">
      <c r="B966" s="34"/>
      <c r="M966" s="25"/>
    </row>
    <row r="967">
      <c r="B967" s="34"/>
      <c r="M967" s="25"/>
    </row>
    <row r="968">
      <c r="B968" s="34"/>
      <c r="M968" s="25"/>
    </row>
    <row r="969">
      <c r="B969" s="34"/>
      <c r="M969" s="25"/>
    </row>
    <row r="970">
      <c r="B970" s="34"/>
      <c r="M970" s="25"/>
    </row>
    <row r="971">
      <c r="B971" s="34"/>
      <c r="M971" s="25"/>
    </row>
    <row r="972">
      <c r="B972" s="34"/>
      <c r="M972" s="25"/>
    </row>
    <row r="973">
      <c r="M973" s="25"/>
    </row>
    <row r="974">
      <c r="M974" s="25"/>
    </row>
    <row r="975">
      <c r="M975" s="25"/>
    </row>
    <row r="976">
      <c r="M976" s="25"/>
    </row>
    <row r="977">
      <c r="M977" s="25"/>
    </row>
    <row r="978">
      <c r="M978" s="25"/>
    </row>
    <row r="979">
      <c r="M979" s="25"/>
    </row>
    <row r="980">
      <c r="M980" s="25"/>
    </row>
    <row r="981">
      <c r="M981" s="25"/>
    </row>
    <row r="982">
      <c r="M982" s="25"/>
    </row>
    <row r="983">
      <c r="M983" s="25"/>
    </row>
    <row r="984">
      <c r="M984" s="25"/>
    </row>
    <row r="985">
      <c r="M985" s="25"/>
    </row>
    <row r="986">
      <c r="M986" s="25"/>
    </row>
    <row r="987">
      <c r="M987" s="25"/>
    </row>
    <row r="988">
      <c r="M988" s="25"/>
    </row>
    <row r="989">
      <c r="M989" s="25"/>
    </row>
    <row r="990">
      <c r="M990" s="25"/>
    </row>
    <row r="991">
      <c r="M991" s="25"/>
    </row>
    <row r="992">
      <c r="M992" s="25"/>
    </row>
    <row r="993">
      <c r="M993" s="25"/>
    </row>
    <row r="994">
      <c r="M994" s="25"/>
    </row>
    <row r="995">
      <c r="M995" s="25"/>
    </row>
    <row r="996">
      <c r="M996" s="25"/>
    </row>
    <row r="997">
      <c r="M997" s="25"/>
    </row>
    <row r="998">
      <c r="M998" s="25"/>
    </row>
    <row r="999">
      <c r="M999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/>
      <c r="B1" s="64" t="s">
        <v>145</v>
      </c>
      <c r="C1" s="64" t="s">
        <v>146</v>
      </c>
      <c r="E1" s="59" t="s">
        <v>147</v>
      </c>
    </row>
    <row r="2">
      <c r="A2" s="70" t="s">
        <v>148</v>
      </c>
      <c r="B2" s="64">
        <v>52.0</v>
      </c>
      <c r="C2" s="64">
        <v>52.0</v>
      </c>
    </row>
    <row r="3">
      <c r="A3" s="70" t="s">
        <v>133</v>
      </c>
      <c r="B3" s="71">
        <v>0.0039</v>
      </c>
      <c r="C3" s="64">
        <v>0.00306</v>
      </c>
      <c r="E3" s="60" t="s">
        <v>149</v>
      </c>
      <c r="F3" s="60" t="s">
        <v>150</v>
      </c>
    </row>
    <row r="4">
      <c r="A4" s="70" t="s">
        <v>129</v>
      </c>
      <c r="B4" s="72">
        <v>0.05</v>
      </c>
      <c r="C4" s="73"/>
    </row>
    <row r="5">
      <c r="E5" s="59" t="s">
        <v>151</v>
      </c>
      <c r="F5" s="25">
        <f>B3/C3</f>
        <v>1.274509804</v>
      </c>
    </row>
    <row r="6">
      <c r="E6" s="59" t="s">
        <v>152</v>
      </c>
      <c r="F6" s="59">
        <v>52.0</v>
      </c>
      <c r="H6" s="69"/>
    </row>
    <row r="7">
      <c r="E7" s="59" t="s">
        <v>153</v>
      </c>
      <c r="F7" s="59">
        <v>52.0</v>
      </c>
    </row>
    <row r="8">
      <c r="E8" s="59" t="s">
        <v>154</v>
      </c>
      <c r="F8" s="25">
        <f>_xlfn.F.INV.RT(B4,F6,F7)</f>
        <v>1.584704897</v>
      </c>
    </row>
    <row r="10">
      <c r="E10" s="46" t="s">
        <v>155</v>
      </c>
    </row>
  </sheetData>
  <mergeCells count="1">
    <mergeCell ref="B4:C4"/>
  </mergeCells>
  <drawing r:id="rId1"/>
</worksheet>
</file>